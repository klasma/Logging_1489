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45631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45631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45631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45631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3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Entita
Grönsångare
Mindre bastardsvärmare
Sexfläckig bastardsvärmare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45631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47947-2022</t>
        </is>
      </c>
      <c r="B7" s="1" t="n">
        <v>44855</v>
      </c>
      <c r="C7" s="1" t="n">
        <v>45631</v>
      </c>
      <c r="D7" t="inlineStr">
        <is>
          <t>VÄSTRA GÖTALANDS LÄN</t>
        </is>
      </c>
      <c r="E7" t="inlineStr">
        <is>
          <t>ALINGSÅS</t>
        </is>
      </c>
      <c r="G7" t="n">
        <v>4.3</v>
      </c>
      <c r="H7" t="n">
        <v>3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Grönfink
Gulsparv
Svartvit flugsnappare</t>
        </is>
      </c>
      <c r="S7">
        <f>HYPERLINK("https://klasma.github.io/Logging_1489/artfynd/A 47947-2022 artfynd.xlsx", "A 47947-2022")</f>
        <v/>
      </c>
      <c r="T7">
        <f>HYPERLINK("https://klasma.github.io/Logging_1489/kartor/A 47947-2022 karta.png", "A 47947-2022")</f>
        <v/>
      </c>
      <c r="V7">
        <f>HYPERLINK("https://klasma.github.io/Logging_1489/klagomål/A 47947-2022 FSC-klagomål.docx", "A 47947-2022")</f>
        <v/>
      </c>
      <c r="W7">
        <f>HYPERLINK("https://klasma.github.io/Logging_1489/klagomålsmail/A 47947-2022 FSC-klagomål mail.docx", "A 47947-2022")</f>
        <v/>
      </c>
      <c r="X7">
        <f>HYPERLINK("https://klasma.github.io/Logging_1489/tillsyn/A 47947-2022 tillsynsbegäran.docx", "A 47947-2022")</f>
        <v/>
      </c>
      <c r="Y7">
        <f>HYPERLINK("https://klasma.github.io/Logging_1489/tillsynsmail/A 47947-2022 tillsynsbegäran mail.docx", "A 47947-2022")</f>
        <v/>
      </c>
      <c r="Z7">
        <f>HYPERLINK("https://klasma.github.io/Logging_1489/fåglar/A 47947-2022 prioriterade fågelarter.docx", "A 47947-2022")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45631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45631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45631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45631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45631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45631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45631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45631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45631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45631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45631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45631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45631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45631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45631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45631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45631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45631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45631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45631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45631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45631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45631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45631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45631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45631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45631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45631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45631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45631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45631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45631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45631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45631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45631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45631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45631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45631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45631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45631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45631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45631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45631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45631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45631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45631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45631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45631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45631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45631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45631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45631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45631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45631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45631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45631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45631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45631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45631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45631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45631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45631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45631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45631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45631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45631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45631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45631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45631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45631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45631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45631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45631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45631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45631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45631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45631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45631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45631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45631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45631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45631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45631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45631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45631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45631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45631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45631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45631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45631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45631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45631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45631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45631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45631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45631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45631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45631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45631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45631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45631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45631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45631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45631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45631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45631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45631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45631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45631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45631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45631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45631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45631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45631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45631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45631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45631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45631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45631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45631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45631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45631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45631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45631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45631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45631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45631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45631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45631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45631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45631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45631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45631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45631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45631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45631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45631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45631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45631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45631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45631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45631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45631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45631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45631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45631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45631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45631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45631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45631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45631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45631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45631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45631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45631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45631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45631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45631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45631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45631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45631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45631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45631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45631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45631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45631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45631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45631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45631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45631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45631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45631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45631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45631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45631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45631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45631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45631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45631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45631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45631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45631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45631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45631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45631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45631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45631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45631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45631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45631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45631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45631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45631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45631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45631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45631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45631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45631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45631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45631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45631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45631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45631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45631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45631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45631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45631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45631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45631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45631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45631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45631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45631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45631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45631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45631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45631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45631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45631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45631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45631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45631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45631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45631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45631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45631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45631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45631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45631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45631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45631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45631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45631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45631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45631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45631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45631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45631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45631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45631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45631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45631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45631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45631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45631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45631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45631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45631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45631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45631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45631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45631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45631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45631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45631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45631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45631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45631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45631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45631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45631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45631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45631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45631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45631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45631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45631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45631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45631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45631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45631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45631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45631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45631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45631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45631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45631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45631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45631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45631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45631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45631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45631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45631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45631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45631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45631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45631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45631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45631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45631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45631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45631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45631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45631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45631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45631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45631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45631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45631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45631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45631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45631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45631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45631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45631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45631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45631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45631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45631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45631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45631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45631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45631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45631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45631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45631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45631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45631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45631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45631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45631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45631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45631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45631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45631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45631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45631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45631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45631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45631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45631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45631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45631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45631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45631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45631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45631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45631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45631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45631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45631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45631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45631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45631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45631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45631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45631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45631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45631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45631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45631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45631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45631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45631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45631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45631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45631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45631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45631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45631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45631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45631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45631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45631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45631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45631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45631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45631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45631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45631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45631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45631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45631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45631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45631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45631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45631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45631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45631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45631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45631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45631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45631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45631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45631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45631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45631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45631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45631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45631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45631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45631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45631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45631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45631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45631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45631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45631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45631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45631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45631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45631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45631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45631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45631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45631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45631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45631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45631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45631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45631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45631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45631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45631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45631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45631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45631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45631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45631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45631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45631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45631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45631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45631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45631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45631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45631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45631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45631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45631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45631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45631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45631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45631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45631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45631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45631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45631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45631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45631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45631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45631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45631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45631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45631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45631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45631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45631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45631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45631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45631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45631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45631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45631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45631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43948-2024</t>
        </is>
      </c>
      <c r="B464" s="1" t="n">
        <v>45572</v>
      </c>
      <c r="C464" s="1" t="n">
        <v>45631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45156-2024</t>
        </is>
      </c>
      <c r="B465" s="1" t="n">
        <v>45575</v>
      </c>
      <c r="C465" s="1" t="n">
        <v>45631</v>
      </c>
      <c r="D465" t="inlineStr">
        <is>
          <t>VÄSTRA GÖTALANDS LÄN</t>
        </is>
      </c>
      <c r="E465" t="inlineStr">
        <is>
          <t>ALINGSÅS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45321-2024</t>
        </is>
      </c>
      <c r="B466" s="1" t="n">
        <v>45576</v>
      </c>
      <c r="C466" s="1" t="n">
        <v>45631</v>
      </c>
      <c r="D466" t="inlineStr">
        <is>
          <t>VÄSTRA GÖTALANDS LÄN</t>
        </is>
      </c>
      <c r="E466" t="inlineStr">
        <is>
          <t>ALINGSÅS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45323-2024</t>
        </is>
      </c>
      <c r="B467" s="1" t="n">
        <v>45576</v>
      </c>
      <c r="C467" s="1" t="n">
        <v>45631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45322-2024</t>
        </is>
      </c>
      <c r="B468" s="1" t="n">
        <v>45576</v>
      </c>
      <c r="C468" s="1" t="n">
        <v>45631</v>
      </c>
      <c r="D468" t="inlineStr">
        <is>
          <t>VÄSTRA GÖTALANDS LÄN</t>
        </is>
      </c>
      <c r="E468" t="inlineStr">
        <is>
          <t>ALINGSÅS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45328-2024</t>
        </is>
      </c>
      <c r="B469" s="1" t="n">
        <v>45576</v>
      </c>
      <c r="C469" s="1" t="n">
        <v>45631</v>
      </c>
      <c r="D469" t="inlineStr">
        <is>
          <t>VÄSTRA GÖTALANDS LÄN</t>
        </is>
      </c>
      <c r="E469" t="inlineStr">
        <is>
          <t>ALINGSÅS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46227-2024</t>
        </is>
      </c>
      <c r="B470" s="1" t="n">
        <v>45581</v>
      </c>
      <c r="C470" s="1" t="n">
        <v>45631</v>
      </c>
      <c r="D470" t="inlineStr">
        <is>
          <t>VÄSTRA GÖTALANDS LÄN</t>
        </is>
      </c>
      <c r="E470" t="inlineStr">
        <is>
          <t>ALINGSÅS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48082-2024</t>
        </is>
      </c>
      <c r="B471" s="1" t="n">
        <v>45589</v>
      </c>
      <c r="C471" s="1" t="n">
        <v>45631</v>
      </c>
      <c r="D471" t="inlineStr">
        <is>
          <t>VÄSTRA GÖTALANDS LÄN</t>
        </is>
      </c>
      <c r="E471" t="inlineStr">
        <is>
          <t>ALINGSÅS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49164-2024</t>
        </is>
      </c>
      <c r="B472" s="1" t="n">
        <v>45594</v>
      </c>
      <c r="C472" s="1" t="n">
        <v>45631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49165-2024</t>
        </is>
      </c>
      <c r="B473" s="1" t="n">
        <v>45594</v>
      </c>
      <c r="C473" s="1" t="n">
        <v>45631</v>
      </c>
      <c r="D473" t="inlineStr">
        <is>
          <t>VÄSTRA GÖTALANDS LÄN</t>
        </is>
      </c>
      <c r="E473" t="inlineStr">
        <is>
          <t>ALINGSÅS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49522-2024</t>
        </is>
      </c>
      <c r="B474" s="1" t="n">
        <v>45596</v>
      </c>
      <c r="C474" s="1" t="n">
        <v>45631</v>
      </c>
      <c r="D474" t="inlineStr">
        <is>
          <t>VÄSTRA GÖTALANDS LÄN</t>
        </is>
      </c>
      <c r="E474" t="inlineStr">
        <is>
          <t>ALINGSÅS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50312-2024</t>
        </is>
      </c>
      <c r="B475" s="1" t="n">
        <v>45600</v>
      </c>
      <c r="C475" s="1" t="n">
        <v>45631</v>
      </c>
      <c r="D475" t="inlineStr">
        <is>
          <t>VÄSTRA GÖTALANDS LÄN</t>
        </is>
      </c>
      <c r="E475" t="inlineStr">
        <is>
          <t>ALINGSÅS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50507-2024</t>
        </is>
      </c>
      <c r="B476" s="1" t="n">
        <v>45601</v>
      </c>
      <c r="C476" s="1" t="n">
        <v>45631</v>
      </c>
      <c r="D476" t="inlineStr">
        <is>
          <t>VÄSTRA GÖTALANDS LÄN</t>
        </is>
      </c>
      <c r="E476" t="inlineStr">
        <is>
          <t>ALINGSÅS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51923-2024</t>
        </is>
      </c>
      <c r="B477" s="1" t="n">
        <v>45607</v>
      </c>
      <c r="C477" s="1" t="n">
        <v>45631</v>
      </c>
      <c r="D477" t="inlineStr">
        <is>
          <t>VÄSTRA GÖTALANDS LÄN</t>
        </is>
      </c>
      <c r="E477" t="inlineStr">
        <is>
          <t>ALINGSÅS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51927-2024</t>
        </is>
      </c>
      <c r="B478" s="1" t="n">
        <v>45607</v>
      </c>
      <c r="C478" s="1" t="n">
        <v>45631</v>
      </c>
      <c r="D478" t="inlineStr">
        <is>
          <t>VÄSTRA GÖTALANDS LÄN</t>
        </is>
      </c>
      <c r="E478" t="inlineStr">
        <is>
          <t>ALINGSÅS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51858-2024</t>
        </is>
      </c>
      <c r="B479" s="1" t="n">
        <v>45607</v>
      </c>
      <c r="C479" s="1" t="n">
        <v>45631</v>
      </c>
      <c r="D479" t="inlineStr">
        <is>
          <t>VÄSTRA GÖTALANDS LÄN</t>
        </is>
      </c>
      <c r="E479" t="inlineStr">
        <is>
          <t>ALINGSÅS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51909-2024</t>
        </is>
      </c>
      <c r="B480" s="1" t="n">
        <v>45607</v>
      </c>
      <c r="C480" s="1" t="n">
        <v>45631</v>
      </c>
      <c r="D480" t="inlineStr">
        <is>
          <t>VÄSTRA GÖTALANDS LÄN</t>
        </is>
      </c>
      <c r="E480" t="inlineStr">
        <is>
          <t>ALINGSÅS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52297-2024</t>
        </is>
      </c>
      <c r="B481" s="1" t="n">
        <v>45608</v>
      </c>
      <c r="C481" s="1" t="n">
        <v>45631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52299-2024</t>
        </is>
      </c>
      <c r="B482" s="1" t="n">
        <v>45608</v>
      </c>
      <c r="C482" s="1" t="n">
        <v>45631</v>
      </c>
      <c r="D482" t="inlineStr">
        <is>
          <t>VÄSTRA GÖTALANDS LÄN</t>
        </is>
      </c>
      <c r="E482" t="inlineStr">
        <is>
          <t>ALINGSÅS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52301-2024</t>
        </is>
      </c>
      <c r="B483" s="1" t="n">
        <v>45608</v>
      </c>
      <c r="C483" s="1" t="n">
        <v>45631</v>
      </c>
      <c r="D483" t="inlineStr">
        <is>
          <t>VÄSTRA GÖTALANDS LÄN</t>
        </is>
      </c>
      <c r="E483" t="inlineStr">
        <is>
          <t>ALINGSÅS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52298-2024</t>
        </is>
      </c>
      <c r="B484" s="1" t="n">
        <v>45608</v>
      </c>
      <c r="C484" s="1" t="n">
        <v>45631</v>
      </c>
      <c r="D484" t="inlineStr">
        <is>
          <t>VÄSTRA GÖTALANDS LÄN</t>
        </is>
      </c>
      <c r="E484" t="inlineStr">
        <is>
          <t>ALINGSÅS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52302-2024</t>
        </is>
      </c>
      <c r="B485" s="1" t="n">
        <v>45608</v>
      </c>
      <c r="C485" s="1" t="n">
        <v>45631</v>
      </c>
      <c r="D485" t="inlineStr">
        <is>
          <t>VÄSTRA GÖTALANDS LÄN</t>
        </is>
      </c>
      <c r="E485" t="inlineStr">
        <is>
          <t>ALINGSÅS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54579-2024</t>
        </is>
      </c>
      <c r="B486" s="1" t="n">
        <v>45617</v>
      </c>
      <c r="C486" s="1" t="n">
        <v>45631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54615-2024</t>
        </is>
      </c>
      <c r="B487" s="1" t="n">
        <v>45617</v>
      </c>
      <c r="C487" s="1" t="n">
        <v>45631</v>
      </c>
      <c r="D487" t="inlineStr">
        <is>
          <t>VÄSTRA GÖTALANDS LÄN</t>
        </is>
      </c>
      <c r="E487" t="inlineStr">
        <is>
          <t>ALINGSÅS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54752-2024</t>
        </is>
      </c>
      <c r="B488" s="1" t="n">
        <v>45618</v>
      </c>
      <c r="C488" s="1" t="n">
        <v>45631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56957-2024</t>
        </is>
      </c>
      <c r="B489" s="1" t="n">
        <v>45628</v>
      </c>
      <c r="C489" s="1" t="n">
        <v>45631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57285-2024</t>
        </is>
      </c>
      <c r="B490" s="1" t="n">
        <v>45629</v>
      </c>
      <c r="C490" s="1" t="n">
        <v>45631</v>
      </c>
      <c r="D490" t="inlineStr">
        <is>
          <t>VÄSTRA GÖTALANDS LÄN</t>
        </is>
      </c>
      <c r="E490" t="inlineStr">
        <is>
          <t>ALINGSÅS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57450-2024</t>
        </is>
      </c>
      <c r="B491" s="1" t="n">
        <v>45630</v>
      </c>
      <c r="C491" s="1" t="n">
        <v>45631</v>
      </c>
      <c r="D491" t="inlineStr">
        <is>
          <t>VÄSTRA GÖTALANDS LÄN</t>
        </is>
      </c>
      <c r="E491" t="inlineStr">
        <is>
          <t>ALINGSÅS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2024-12-05T15:55:37Z</dcterms:created>
  <dcterms:modified xmlns:dcterms="http://purl.org/dc/terms/" xmlns:xsi="http://www.w3.org/2001/XMLSchema-instance" xsi:type="dcterms:W3CDTF">2024-12-05T15:55:37Z</dcterms:modified>
</cp:coreProperties>
</file>