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2093-2026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46036</v>
      </c>
      <c r="E2" s="1" t="n">
        <v>46317</v>
      </c>
      <c r="F2" t="inlineStr">
        <is>
          <t>VÄSTRA GÖTALANDS LÄN</t>
        </is>
      </c>
      <c r="G2" t="inlineStr">
        <is>
          <t>ALINGSÅS</t>
        </is>
      </c>
      <c r="I2" t="n">
        <v>4.2</v>
      </c>
      <c r="J2" t="n">
        <v>1</v>
      </c>
      <c r="K2" t="n">
        <v>12</v>
      </c>
      <c r="L2" t="n">
        <v>2</v>
      </c>
      <c r="M2" t="n">
        <v>1</v>
      </c>
      <c r="N2" t="n">
        <v>0</v>
      </c>
      <c r="O2" t="n">
        <v>0</v>
      </c>
      <c r="P2" t="n">
        <v>0</v>
      </c>
      <c r="Q2" t="n">
        <v>3</v>
      </c>
      <c r="R2" t="n">
        <v>1</v>
      </c>
      <c r="S2" t="n">
        <v>16</v>
      </c>
      <c r="T2" t="n">
        <v>28</v>
      </c>
      <c r="U2" t="n">
        <v>6</v>
      </c>
      <c r="V2" s="2" t="inlineStr">
        <is>
          <t>Violett fingersvamp
Jungfrulin
Scharlakansvaxing
Aprikosfingersvamp
Blodvaxing
Broskvaxing
Gulvaxing
Hagfingersvamp
Honungsvaxing
Kantarellvaxing
Sprödvaxing
Stor revmossa
Toppvaxing
Vitvaxing agg.
Västlig hakmossa
Revlummer</t>
        </is>
      </c>
      <c r="W2">
        <f>HYPERLINK("https://klasma.github.io/Logging_1489/artfynd/A 2093-2026 artfynd.xlsx", "A 2093-2026")</f>
        <v/>
      </c>
      <c r="X2">
        <f>HYPERLINK("https://klasma.github.io/Logging_1489/kartor/A 2093-2026 karta.png", "A 2093-2026")</f>
        <v/>
      </c>
      <c r="Y2">
        <f>HYPERLINK("https://klasma.github.io/Logging_1489/kartor_geotiff/A 2093-2026 georefererad karta.tif", "A 2093-2026")</f>
        <v/>
      </c>
      <c r="AA2">
        <f>HYPERLINK("https://klasma.github.io/Logging_1489/klagomål/A 2093-2026 FSC-klagomål.docx", "A 2093-2026")</f>
        <v/>
      </c>
      <c r="AB2">
        <f>HYPERLINK("https://klasma.github.io/Logging_1489/klagomålsmail/A 2093-2026 FSC-klagomål mail.docx", "A 2093-2026")</f>
        <v/>
      </c>
      <c r="AC2">
        <f>HYPERLINK("https://klasma.github.io/Logging_1489/tillsyn/A 2093-2026 tillsynsbegäran.docx", "A 2093-2026")</f>
        <v/>
      </c>
      <c r="AD2">
        <f>HYPERLINK("https://klasma.github.io/Logging_1489/tillsynsmail/A 2093-2026 tillsynsbegäran mail.docx", "A 2093-2026")</f>
        <v/>
      </c>
    </row>
    <row r="3" ht="15" customHeight="1">
      <c r="A3" t="inlineStr">
        <is>
          <t>S 2000-2023</t>
        </is>
      </c>
      <c r="B3" t="inlineStr">
        <is>
          <t>samrådsanmälan</t>
        </is>
      </c>
      <c r="C3" t="inlineStr">
        <is>
          <t>Annan skogsbruksåtgärd</t>
        </is>
      </c>
      <c r="D3" s="1" t="n">
        <v>45091</v>
      </c>
      <c r="E3" s="1" t="n">
        <v>46317</v>
      </c>
      <c r="F3" t="inlineStr">
        <is>
          <t>VÄSTRA GÖTALANDS LÄN</t>
        </is>
      </c>
      <c r="G3" t="inlineStr">
        <is>
          <t>ALINGSÅS</t>
        </is>
      </c>
      <c r="I3" t="n">
        <v>4.2</v>
      </c>
      <c r="J3" t="n">
        <v>6</v>
      </c>
      <c r="K3" t="n">
        <v>6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12</v>
      </c>
      <c r="T3" t="n">
        <v>14</v>
      </c>
      <c r="U3" t="n">
        <v>7</v>
      </c>
      <c r="V3" s="2" t="inlineStr">
        <is>
          <t>Sparvuggla
Talltita
Barkkornlav
Bårdlav
Fällmossa
Kruskantarell
Lindskål
Slanklav
Spillkråka
Tjäder
Grönsiska
Kungsfågel</t>
        </is>
      </c>
      <c r="W3">
        <f>HYPERLINK("https://klasma.github.io/Logging_1489/artfynd/S 2000-2023 artfynd.xlsx", "S 2000-2023")</f>
        <v/>
      </c>
      <c r="X3">
        <f>HYPERLINK("https://klasma.github.io/Logging_1489/kartor/S 2000-2023 karta.png", "S 2000-2023")</f>
        <v/>
      </c>
      <c r="Y3">
        <f>HYPERLINK("https://klasma.github.io/Logging_1489/kartor_geotiff/S 2000-2023 georefererad karta.tif", "S 2000-2023")</f>
        <v/>
      </c>
      <c r="AA3">
        <f>HYPERLINK("https://klasma.github.io/Logging_1489/klagomål/S 2000-2023 FSC-klagomål.docx", "S 2000-2023")</f>
        <v/>
      </c>
      <c r="AB3">
        <f>HYPERLINK("https://klasma.github.io/Logging_1489/klagomålsmail/S 2000-2023 FSC-klagomål mail.docx", "S 2000-2023")</f>
        <v/>
      </c>
      <c r="AC3">
        <f>HYPERLINK("https://klasma.github.io/Logging_1489/tillsyn/S 2000-2023 tillsynsbegäran.docx", "S 2000-2023")</f>
        <v/>
      </c>
      <c r="AD3">
        <f>HYPERLINK("https://klasma.github.io/Logging_1489/tillsynsmail/S 2000-2023 tillsynsbegäran mail.docx", "S 2000-2023")</f>
        <v/>
      </c>
      <c r="AE3">
        <f>HYPERLINK("https://klasma.github.io/Logging_1489/fåglar/S 2000-2023 prioriterade fågelarter.docx", "S 2000-2023")</f>
        <v/>
      </c>
    </row>
    <row r="4" ht="15" customHeight="1">
      <c r="A4" t="inlineStr">
        <is>
          <t>A 56530-2023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45243</v>
      </c>
      <c r="E4" s="1" t="n">
        <v>46317</v>
      </c>
      <c r="F4" t="inlineStr">
        <is>
          <t>VÄSTRA GÖTALANDS LÄN</t>
        </is>
      </c>
      <c r="G4" t="inlineStr">
        <is>
          <t>ALINGSÅS</t>
        </is>
      </c>
      <c r="I4" t="n">
        <v>2.4</v>
      </c>
      <c r="J4" t="n">
        <v>7</v>
      </c>
      <c r="K4" t="n">
        <v>1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8</v>
      </c>
      <c r="T4" t="n">
        <v>14</v>
      </c>
      <c r="U4" t="n">
        <v>1</v>
      </c>
      <c r="V4" s="2" t="inlineStr">
        <is>
          <t>Björktrast
Entita
Gulsparv
Mindre hackspett
Trubbfjädermossa
Grönsiska
Svartvit flugsnappare
Sävsparv</t>
        </is>
      </c>
      <c r="W4">
        <f>HYPERLINK("https://klasma.github.io/Logging_1489/artfynd/A 56530-2023 artfynd.xlsx", "A 56530-2023")</f>
        <v/>
      </c>
      <c r="X4">
        <f>HYPERLINK("https://klasma.github.io/Logging_1489/kartor/A 56530-2023 karta.png", "A 56530-2023")</f>
        <v/>
      </c>
      <c r="Y4">
        <f>HYPERLINK("https://klasma.github.io/Logging_1489/kartor_geotiff/A 56530-2023 georefererad karta.tif", "A 56530-2023")</f>
        <v/>
      </c>
      <c r="AA4">
        <f>HYPERLINK("https://klasma.github.io/Logging_1489/klagomål/A 56530-2023 FSC-klagomål.docx", "A 56530-2023")</f>
        <v/>
      </c>
      <c r="AB4">
        <f>HYPERLINK("https://klasma.github.io/Logging_1489/klagomålsmail/A 56530-2023 FSC-klagomål mail.docx", "A 56530-2023")</f>
        <v/>
      </c>
      <c r="AC4">
        <f>HYPERLINK("https://klasma.github.io/Logging_1489/tillsyn/A 56530-2023 tillsynsbegäran.docx", "A 56530-2023")</f>
        <v/>
      </c>
      <c r="AD4">
        <f>HYPERLINK("https://klasma.github.io/Logging_1489/tillsynsmail/A 56530-2023 tillsynsbegäran mail.docx", "A 56530-2023")</f>
        <v/>
      </c>
      <c r="AE4">
        <f>HYPERLINK("https://klasma.github.io/Logging_1489/fåglar/A 56530-2023 prioriterade fågelarter.docx", "A 56530-2023")</f>
        <v/>
      </c>
    </row>
    <row r="5" ht="15" customHeight="1">
      <c r="A5" t="inlineStr">
        <is>
          <t>S 4104-2023</t>
        </is>
      </c>
      <c r="B5" t="inlineStr">
        <is>
          <t>samrådsanmälan</t>
        </is>
      </c>
      <c r="C5" t="inlineStr">
        <is>
          <t>Annan skogsbruksåtgärd</t>
        </is>
      </c>
      <c r="D5" s="1" t="n">
        <v>45249</v>
      </c>
      <c r="E5" s="1" t="n">
        <v>46317</v>
      </c>
      <c r="F5" t="inlineStr">
        <is>
          <t>VÄSTRA GÖTALANDS LÄN</t>
        </is>
      </c>
      <c r="G5" t="inlineStr">
        <is>
          <t>ALINGSÅS</t>
        </is>
      </c>
      <c r="I5" t="n">
        <v>0.9</v>
      </c>
      <c r="J5" t="n">
        <v>0</v>
      </c>
      <c r="K5" t="n">
        <v>4</v>
      </c>
      <c r="L5" t="n">
        <v>2</v>
      </c>
      <c r="M5" t="n">
        <v>1</v>
      </c>
      <c r="N5" t="n">
        <v>1</v>
      </c>
      <c r="O5" t="n">
        <v>0</v>
      </c>
      <c r="P5" t="n">
        <v>0</v>
      </c>
      <c r="Q5" t="n">
        <v>4</v>
      </c>
      <c r="R5" t="n">
        <v>2</v>
      </c>
      <c r="S5" t="n">
        <v>8</v>
      </c>
      <c r="T5" t="n">
        <v>33</v>
      </c>
      <c r="U5" t="n">
        <v>16</v>
      </c>
      <c r="V5" s="2" t="inlineStr">
        <is>
          <t>Ask
Klosterlav
Grynig filtlav
Sydlig blekspik
Dvärgtufs
Fällmossa
Guldlockmossa
Trubbfjädermossa</t>
        </is>
      </c>
      <c r="W5">
        <f>HYPERLINK("https://klasma.github.io/Logging_1489/artfynd/S 4104-2023 artfynd.xlsx", "S 4104-2023")</f>
        <v/>
      </c>
      <c r="X5">
        <f>HYPERLINK("https://klasma.github.io/Logging_1489/kartor/S 4104-2023 karta.png", "S 4104-2023")</f>
        <v/>
      </c>
      <c r="Y5">
        <f>HYPERLINK("https://klasma.github.io/Logging_1489/kartor_geotiff/S 4104-2023 georefererad karta.tif", "S 4104-2023")</f>
        <v/>
      </c>
      <c r="AA5">
        <f>HYPERLINK("https://klasma.github.io/Logging_1489/klagomål/S 4104-2023 FSC-klagomål.docx", "S 4104-2023")</f>
        <v/>
      </c>
      <c r="AB5">
        <f>HYPERLINK("https://klasma.github.io/Logging_1489/klagomålsmail/S 4104-2023 FSC-klagomål mail.docx", "S 4104-2023")</f>
        <v/>
      </c>
      <c r="AC5">
        <f>HYPERLINK("https://klasma.github.io/Logging_1489/tillsyn/S 4104-2023 tillsynsbegäran.docx", "S 4104-2023")</f>
        <v/>
      </c>
      <c r="AD5">
        <f>HYPERLINK("https://klasma.github.io/Logging_1489/tillsynsmail/S 4104-2023 tillsynsbegäran mail.docx", "S 4104-2023")</f>
        <v/>
      </c>
    </row>
    <row r="6" ht="15" customHeight="1">
      <c r="A6" t="inlineStr">
        <is>
          <t>A 57763-2024</t>
        </is>
      </c>
      <c r="B6" t="inlineStr">
        <is>
          <t>avverkningsanmälan</t>
        </is>
      </c>
      <c r="C6" t="inlineStr">
        <is>
          <t>Avverkning för att bevara och utveckla /försöksver</t>
        </is>
      </c>
      <c r="D6" s="1" t="n">
        <v>45630</v>
      </c>
      <c r="E6" s="1" t="n">
        <v>46317</v>
      </c>
      <c r="F6" t="inlineStr">
        <is>
          <t>VÄSTRA GÖTALANDS LÄN</t>
        </is>
      </c>
      <c r="G6" t="inlineStr">
        <is>
          <t>ALINGSÅS</t>
        </is>
      </c>
      <c r="H6" t="inlineStr">
        <is>
          <t>Kommuner</t>
        </is>
      </c>
      <c r="I6" t="n">
        <v>2.3</v>
      </c>
      <c r="J6" t="n">
        <v>7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7</v>
      </c>
      <c r="T6" t="n">
        <v>21</v>
      </c>
      <c r="U6" t="n">
        <v>0</v>
      </c>
      <c r="V6" s="2" t="inlineStr">
        <is>
          <t>Björktrast
Grönsångare
Nordfladdermus
Dvärgpipistrell
Grönsiska
Kungsfågel
Större brunfladdermus</t>
        </is>
      </c>
      <c r="W6">
        <f>HYPERLINK("https://klasma.github.io/Logging_1489/artfynd/A 57763-2024 artfynd.xlsx", "A 57763-2024")</f>
        <v/>
      </c>
      <c r="X6">
        <f>HYPERLINK("https://klasma.github.io/Logging_1489/kartor/A 57763-2024 karta.png", "A 57763-2024")</f>
        <v/>
      </c>
      <c r="Y6">
        <f>HYPERLINK("https://klasma.github.io/Logging_1489/kartor_geotiff/A 57763-2024 georefererad karta.tif", "A 57763-2024")</f>
        <v/>
      </c>
      <c r="AA6">
        <f>HYPERLINK("https://klasma.github.io/Logging_1489/klagomål/A 57763-2024 FSC-klagomål.docx", "A 57763-2024")</f>
        <v/>
      </c>
      <c r="AB6">
        <f>HYPERLINK("https://klasma.github.io/Logging_1489/klagomålsmail/A 57763-2024 FSC-klagomål mail.docx", "A 57763-2024")</f>
        <v/>
      </c>
      <c r="AC6">
        <f>HYPERLINK("https://klasma.github.io/Logging_1489/tillsyn/A 57763-2024 tillsynsbegäran.docx", "A 57763-2024")</f>
        <v/>
      </c>
      <c r="AD6">
        <f>HYPERLINK("https://klasma.github.io/Logging_1489/tillsynsmail/A 57763-2024 tillsynsbegäran mail.docx", "A 57763-2024")</f>
        <v/>
      </c>
      <c r="AE6">
        <f>HYPERLINK("https://klasma.github.io/Logging_1489/fåglar/A 57763-2024 prioriterade fågelarter.docx", "A 57763-2024")</f>
        <v/>
      </c>
    </row>
    <row r="7" ht="15" customHeight="1">
      <c r="A7" t="inlineStr">
        <is>
          <t>A 27271-2025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45812</v>
      </c>
      <c r="E7" s="1" t="n">
        <v>46317</v>
      </c>
      <c r="F7" t="inlineStr">
        <is>
          <t>VÄSTRA GÖTALANDS LÄN</t>
        </is>
      </c>
      <c r="G7" t="inlineStr">
        <is>
          <t>ALINGSÅS</t>
        </is>
      </c>
      <c r="I7" t="n">
        <v>8.800000000000001</v>
      </c>
      <c r="J7" t="n">
        <v>3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6</v>
      </c>
      <c r="T7" t="n">
        <v>8</v>
      </c>
      <c r="U7" t="n">
        <v>8</v>
      </c>
      <c r="V7" s="2" t="inlineStr">
        <is>
          <t>Flikbålmossa
Loppstarr
Blodticka
Spillkråka
Åkergroda
Äkta lopplummer</t>
        </is>
      </c>
      <c r="W7">
        <f>HYPERLINK("https://klasma.github.io/Logging_1489/artfynd/A 27271-2025 artfynd.xlsx", "A 27271-2025")</f>
        <v/>
      </c>
      <c r="X7">
        <f>HYPERLINK("https://klasma.github.io/Logging_1489/kartor/A 27271-2025 karta.png", "A 27271-2025")</f>
        <v/>
      </c>
      <c r="Y7">
        <f>HYPERLINK("https://klasma.github.io/Logging_1489/kartor_geotiff/A 27271-2025 georefererad karta.tif", "A 27271-2025")</f>
        <v/>
      </c>
      <c r="AA7">
        <f>HYPERLINK("https://klasma.github.io/Logging_1489/klagomål/A 27271-2025 FSC-klagomål.docx", "A 27271-2025")</f>
        <v/>
      </c>
      <c r="AB7">
        <f>HYPERLINK("https://klasma.github.io/Logging_1489/klagomålsmail/A 27271-2025 FSC-klagomål mail.docx", "A 27271-2025")</f>
        <v/>
      </c>
      <c r="AC7">
        <f>HYPERLINK("https://klasma.github.io/Logging_1489/tillsyn/A 27271-2025 tillsynsbegäran.docx", "A 27271-2025")</f>
        <v/>
      </c>
      <c r="AD7">
        <f>HYPERLINK("https://klasma.github.io/Logging_1489/tillsynsmail/A 27271-2025 tillsynsbegäran mail.docx", "A 27271-2025")</f>
        <v/>
      </c>
      <c r="AE7">
        <f>HYPERLINK("https://klasma.github.io/Logging_1489/fåglar/A 27271-2025 prioriterade fågelarter.docx", "A 27271-2025")</f>
        <v/>
      </c>
    </row>
    <row r="8" ht="15" customHeight="1">
      <c r="A8" t="inlineStr">
        <is>
          <t>A 10017-2022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44621</v>
      </c>
      <c r="E8" s="1" t="n">
        <v>46317</v>
      </c>
      <c r="F8" t="inlineStr">
        <is>
          <t>VÄSTRA GÖTALANDS LÄN</t>
        </is>
      </c>
      <c r="G8" t="inlineStr">
        <is>
          <t>ALINGSÅS</t>
        </is>
      </c>
      <c r="I8" t="n">
        <v>3.8</v>
      </c>
      <c r="J8" t="n">
        <v>2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2</v>
      </c>
      <c r="R8" t="n">
        <v>2</v>
      </c>
      <c r="S8" t="n">
        <v>5</v>
      </c>
      <c r="T8" t="n">
        <v>5</v>
      </c>
      <c r="U8" t="n">
        <v>5</v>
      </c>
      <c r="V8" s="2" t="inlineStr">
        <is>
          <t>Ask
Skogsalm
Tibast
Skogsödla
Vanlig padda</t>
        </is>
      </c>
      <c r="W8">
        <f>HYPERLINK("https://klasma.github.io/Logging_1489/artfynd/A 10017-2022 artfynd.xlsx", "A 10017-2022")</f>
        <v/>
      </c>
      <c r="X8">
        <f>HYPERLINK("https://klasma.github.io/Logging_1489/kartor/A 10017-2022 karta.png", "A 10017-2022")</f>
        <v/>
      </c>
      <c r="Y8">
        <f>HYPERLINK("https://klasma.github.io/Logging_1489/kartor_geotiff/A 10017-2022 georefererad karta.tif", "A 10017-2022")</f>
        <v/>
      </c>
      <c r="AA8">
        <f>HYPERLINK("https://klasma.github.io/Logging_1489/klagomål/A 10017-2022 FSC-klagomål.docx", "A 10017-2022")</f>
        <v/>
      </c>
      <c r="AB8">
        <f>HYPERLINK("https://klasma.github.io/Logging_1489/klagomålsmail/A 10017-2022 FSC-klagomål mail.docx", "A 10017-2022")</f>
        <v/>
      </c>
      <c r="AC8">
        <f>HYPERLINK("https://klasma.github.io/Logging_1489/tillsyn/A 10017-2022 tillsynsbegäran.docx", "A 10017-2022")</f>
        <v/>
      </c>
      <c r="AD8">
        <f>HYPERLINK("https://klasma.github.io/Logging_1489/tillsynsmail/A 10017-2022 tillsynsbegäran mail.docx", "A 10017-2022")</f>
        <v/>
      </c>
    </row>
    <row r="9" ht="15" customHeight="1">
      <c r="A9" t="inlineStr">
        <is>
          <t>A 51221-2022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44868</v>
      </c>
      <c r="E9" s="1" t="n">
        <v>46317</v>
      </c>
      <c r="F9" t="inlineStr">
        <is>
          <t>VÄSTRA GÖTALANDS LÄN</t>
        </is>
      </c>
      <c r="G9" t="inlineStr">
        <is>
          <t>ALINGSÅS</t>
        </is>
      </c>
      <c r="I9" t="n">
        <v>1.4</v>
      </c>
      <c r="J9" t="n">
        <v>3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5</v>
      </c>
      <c r="T9" t="n">
        <v>5</v>
      </c>
      <c r="U9" t="n">
        <v>4</v>
      </c>
      <c r="V9" s="2" t="inlineStr">
        <is>
          <t>Entita
Gulsparv
Scharlakansvårskål agg.
Tibast
Större vattensalamander</t>
        </is>
      </c>
      <c r="W9">
        <f>HYPERLINK("https://klasma.github.io/Logging_1489/artfynd/A 51221-2022 artfynd.xlsx", "A 51221-2022")</f>
        <v/>
      </c>
      <c r="X9">
        <f>HYPERLINK("https://klasma.github.io/Logging_1489/kartor/A 51221-2022 karta.png", "A 51221-2022")</f>
        <v/>
      </c>
      <c r="Y9">
        <f>HYPERLINK("https://klasma.github.io/Logging_1489/kartor_geotiff/A 51221-2022 georefererad karta.tif", "A 51221-2022")</f>
        <v/>
      </c>
      <c r="AA9">
        <f>HYPERLINK("https://klasma.github.io/Logging_1489/klagomål/A 51221-2022 FSC-klagomål.docx", "A 51221-2022")</f>
        <v/>
      </c>
      <c r="AB9">
        <f>HYPERLINK("https://klasma.github.io/Logging_1489/klagomålsmail/A 51221-2022 FSC-klagomål mail.docx", "A 51221-2022")</f>
        <v/>
      </c>
      <c r="AC9">
        <f>HYPERLINK("https://klasma.github.io/Logging_1489/tillsyn/A 51221-2022 tillsynsbegäran.docx", "A 51221-2022")</f>
        <v/>
      </c>
      <c r="AD9">
        <f>HYPERLINK("https://klasma.github.io/Logging_1489/tillsynsmail/A 51221-2022 tillsynsbegäran mail.docx", "A 51221-2022")</f>
        <v/>
      </c>
      <c r="AE9">
        <f>HYPERLINK("https://klasma.github.io/Logging_1489/fåglar/A 51221-2022 prioriterade fågelarter.docx", "A 51221-2022")</f>
        <v/>
      </c>
    </row>
    <row r="10" ht="15" customHeight="1">
      <c r="A10" t="inlineStr">
        <is>
          <t>A 64082-2023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45279</v>
      </c>
      <c r="E10" s="1" t="n">
        <v>46317</v>
      </c>
      <c r="F10" t="inlineStr">
        <is>
          <t>VÄSTRA GÖTALANDS LÄN</t>
        </is>
      </c>
      <c r="G10" t="inlineStr">
        <is>
          <t>ALINGSÅS</t>
        </is>
      </c>
      <c r="H10" t="inlineStr">
        <is>
          <t>Kommuner</t>
        </is>
      </c>
      <c r="I10" t="n">
        <v>0.7</v>
      </c>
      <c r="J10" t="n">
        <v>4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4</v>
      </c>
      <c r="T10" t="n">
        <v>4</v>
      </c>
      <c r="U10" t="n">
        <v>4</v>
      </c>
      <c r="V10" s="2" t="inlineStr">
        <is>
          <t>Grönsångare
Kråka
Kungsfågel
Svartvit flugsnappare</t>
        </is>
      </c>
      <c r="W10">
        <f>HYPERLINK("https://klasma.github.io/Logging_1489/artfynd/A 64082-2023 artfynd.xlsx", "A 64082-2023")</f>
        <v/>
      </c>
      <c r="X10">
        <f>HYPERLINK("https://klasma.github.io/Logging_1489/kartor/A 64082-2023 karta.png", "A 64082-2023")</f>
        <v/>
      </c>
      <c r="Y10">
        <f>HYPERLINK("https://klasma.github.io/Logging_1489/kartor_geotiff/A 64082-2023 georefererad karta.tif", "A 64082-2023")</f>
        <v/>
      </c>
      <c r="AA10">
        <f>HYPERLINK("https://klasma.github.io/Logging_1489/klagomål/A 64082-2023 FSC-klagomål.docx", "A 64082-2023")</f>
        <v/>
      </c>
      <c r="AB10">
        <f>HYPERLINK("https://klasma.github.io/Logging_1489/klagomålsmail/A 64082-2023 FSC-klagomål mail.docx", "A 64082-2023")</f>
        <v/>
      </c>
      <c r="AC10">
        <f>HYPERLINK("https://klasma.github.io/Logging_1489/tillsyn/A 64082-2023 tillsynsbegäran.docx", "A 64082-2023")</f>
        <v/>
      </c>
      <c r="AD10">
        <f>HYPERLINK("https://klasma.github.io/Logging_1489/tillsynsmail/A 64082-2023 tillsynsbegäran mail.docx", "A 64082-2023")</f>
        <v/>
      </c>
      <c r="AE10">
        <f>HYPERLINK("https://klasma.github.io/Logging_1489/fåglar/A 64082-2023 prioriterade fågelarter.docx", "A 64082-2023")</f>
        <v/>
      </c>
    </row>
    <row r="11" ht="15" customHeight="1">
      <c r="A11" t="inlineStr">
        <is>
          <t>A 63493-2023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45274</v>
      </c>
      <c r="E11" s="1" t="n">
        <v>46317</v>
      </c>
      <c r="F11" t="inlineStr">
        <is>
          <t>VÄSTRA GÖTALANDS LÄN</t>
        </is>
      </c>
      <c r="G11" t="inlineStr">
        <is>
          <t>ALINGSÅS</t>
        </is>
      </c>
      <c r="H11" t="inlineStr">
        <is>
          <t>Kommuner</t>
        </is>
      </c>
      <c r="I11" t="n">
        <v>3.7</v>
      </c>
      <c r="J11" t="n">
        <v>4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4</v>
      </c>
      <c r="T11" t="n">
        <v>7</v>
      </c>
      <c r="U11" t="n">
        <v>7</v>
      </c>
      <c r="V11" s="2" t="inlineStr">
        <is>
          <t>Grönsångare
Nordfladdermus
Mattlummer
Kungsfågel</t>
        </is>
      </c>
      <c r="W11">
        <f>HYPERLINK("https://klasma.github.io/Logging_1489/artfynd/A 63493-2023 artfynd.xlsx", "A 63493-2023")</f>
        <v/>
      </c>
      <c r="X11">
        <f>HYPERLINK("https://klasma.github.io/Logging_1489/kartor/A 63493-2023 karta.png", "A 63493-2023")</f>
        <v/>
      </c>
      <c r="Y11">
        <f>HYPERLINK("https://klasma.github.io/Logging_1489/kartor_geotiff/A 63493-2023 georefererad karta.tif", "A 63493-2023")</f>
        <v/>
      </c>
      <c r="AA11">
        <f>HYPERLINK("https://klasma.github.io/Logging_1489/klagomål/A 63493-2023 FSC-klagomål.docx", "A 63493-2023")</f>
        <v/>
      </c>
      <c r="AB11">
        <f>HYPERLINK("https://klasma.github.io/Logging_1489/klagomålsmail/A 63493-2023 FSC-klagomål mail.docx", "A 63493-2023")</f>
        <v/>
      </c>
      <c r="AC11">
        <f>HYPERLINK("https://klasma.github.io/Logging_1489/tillsyn/A 63493-2023 tillsynsbegäran.docx", "A 63493-2023")</f>
        <v/>
      </c>
      <c r="AD11">
        <f>HYPERLINK("https://klasma.github.io/Logging_1489/tillsynsmail/A 63493-2023 tillsynsbegäran mail.docx", "A 63493-2023")</f>
        <v/>
      </c>
      <c r="AE11">
        <f>HYPERLINK("https://klasma.github.io/Logging_1489/fåglar/A 63493-2023 prioriterade fågelarter.docx", "A 63493-2023")</f>
        <v/>
      </c>
    </row>
    <row r="12" ht="15" customHeight="1">
      <c r="A12" t="inlineStr">
        <is>
          <t>A 36195-2022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44803</v>
      </c>
      <c r="E12" s="1" t="n">
        <v>46317</v>
      </c>
      <c r="F12" t="inlineStr">
        <is>
          <t>VÄSTRA GÖTALANDS LÄN</t>
        </is>
      </c>
      <c r="G12" t="inlineStr">
        <is>
          <t>ALINGSÅS</t>
        </is>
      </c>
      <c r="I12" t="n">
        <v>1.8</v>
      </c>
      <c r="J12" t="n">
        <v>0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  <c r="P12" t="n">
        <v>0</v>
      </c>
      <c r="Q12" t="n">
        <v>4</v>
      </c>
      <c r="R12" t="n">
        <v>1</v>
      </c>
      <c r="S12" t="n">
        <v>4</v>
      </c>
      <c r="T12" t="n">
        <v>4</v>
      </c>
      <c r="U12" t="n">
        <v>0</v>
      </c>
      <c r="V12" s="2" t="inlineStr">
        <is>
          <t>Sammetstaggsvamp
Dofttaggsvamp
Dropptaggsvamp
Svartvit taggsvamp</t>
        </is>
      </c>
      <c r="W12">
        <f>HYPERLINK("https://klasma.github.io/Logging_1489/artfynd/A 36195-2022 artfynd.xlsx", "A 36195-2022")</f>
        <v/>
      </c>
      <c r="X12">
        <f>HYPERLINK("https://klasma.github.io/Logging_1489/kartor/A 36195-2022 karta.png", "A 36195-2022")</f>
        <v/>
      </c>
      <c r="Y12">
        <f>HYPERLINK("https://klasma.github.io/Logging_1489/kartor_geotiff/A 36195-2022 georefererad karta.tif", "A 36195-2022")</f>
        <v/>
      </c>
      <c r="AA12">
        <f>HYPERLINK("https://klasma.github.io/Logging_1489/klagomål/A 36195-2022 FSC-klagomål.docx", "A 36195-2022")</f>
        <v/>
      </c>
      <c r="AB12">
        <f>HYPERLINK("https://klasma.github.io/Logging_1489/klagomålsmail/A 36195-2022 FSC-klagomål mail.docx", "A 36195-2022")</f>
        <v/>
      </c>
      <c r="AC12">
        <f>HYPERLINK("https://klasma.github.io/Logging_1489/tillsyn/A 36195-2022 tillsynsbegäran.docx", "A 36195-2022")</f>
        <v/>
      </c>
      <c r="AD12">
        <f>HYPERLINK("https://klasma.github.io/Logging_1489/tillsynsmail/A 36195-2022 tillsynsbegäran mail.docx", "A 36195-2022")</f>
        <v/>
      </c>
    </row>
    <row r="13" ht="15" customHeight="1">
      <c r="A13" t="inlineStr">
        <is>
          <t>A 37491-2026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46275</v>
      </c>
      <c r="E13" s="1" t="n">
        <v>46317</v>
      </c>
      <c r="F13" t="inlineStr">
        <is>
          <t>VÄSTRA GÖTALANDS LÄN</t>
        </is>
      </c>
      <c r="G13" t="inlineStr">
        <is>
          <t>ALINGSÅS</t>
        </is>
      </c>
      <c r="I13" t="n">
        <v>1.3</v>
      </c>
      <c r="J13" t="n">
        <v>4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4</v>
      </c>
      <c r="T13" t="n">
        <v>7</v>
      </c>
      <c r="U13" t="n">
        <v>0</v>
      </c>
      <c r="V13" s="2" t="inlineStr">
        <is>
          <t>Grönfink
Entita
Sädesärla
Kungsfågel</t>
        </is>
      </c>
      <c r="W13">
        <f>HYPERLINK("https://klasma.github.io/Logging_1489/artfynd/A 37491-2026 artfynd.xlsx", "A 37491-2026")</f>
        <v/>
      </c>
      <c r="X13">
        <f>HYPERLINK("https://klasma.github.io/Logging_1489/kartor/A 37491-2026 karta.png", "A 37491-2026")</f>
        <v/>
      </c>
      <c r="Y13">
        <f>HYPERLINK("https://klasma.github.io/Logging_1489/kartor_geotiff/A 37491-2026 georefererad karta.tif", "A 37491-2026")</f>
        <v/>
      </c>
      <c r="AA13">
        <f>HYPERLINK("https://klasma.github.io/Logging_1489/klagomål/A 37491-2026 FSC-klagomål.docx", "A 37491-2026")</f>
        <v/>
      </c>
      <c r="AB13">
        <f>HYPERLINK("https://klasma.github.io/Logging_1489/klagomålsmail/A 37491-2026 FSC-klagomål mail.docx", "A 37491-2026")</f>
        <v/>
      </c>
      <c r="AC13">
        <f>HYPERLINK("https://klasma.github.io/Logging_1489/tillsyn/A 37491-2026 tillsynsbegäran.docx", "A 37491-2026")</f>
        <v/>
      </c>
      <c r="AD13">
        <f>HYPERLINK("https://klasma.github.io/Logging_1489/tillsynsmail/A 37491-2026 tillsynsbegäran mail.docx", "A 37491-2026")</f>
        <v/>
      </c>
      <c r="AE13">
        <f>HYPERLINK("https://klasma.github.io/Logging_1489/fåglar/A 37491-2026 prioriterade fågelarter.docx", "A 37491-2026")</f>
        <v/>
      </c>
    </row>
    <row r="14" ht="15" customHeight="1">
      <c r="A14" t="inlineStr">
        <is>
          <t>A 21662-2024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45442</v>
      </c>
      <c r="E14" s="1" t="n">
        <v>46317</v>
      </c>
      <c r="F14" t="inlineStr">
        <is>
          <t>VÄSTRA GÖTALANDS LÄN</t>
        </is>
      </c>
      <c r="G14" t="inlineStr">
        <is>
          <t>ALINGSÅS</t>
        </is>
      </c>
      <c r="I14" t="n">
        <v>6.2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3</v>
      </c>
      <c r="U14" t="n">
        <v>0</v>
      </c>
      <c r="V14" s="2" t="inlineStr">
        <is>
          <t>Göktyta
Törnskata
Ärtsångare</t>
        </is>
      </c>
      <c r="W14">
        <f>HYPERLINK("https://klasma.github.io/Logging_1489/artfynd/A 21662-2024 artfynd.xlsx", "A 21662-2024")</f>
        <v/>
      </c>
      <c r="X14">
        <f>HYPERLINK("https://klasma.github.io/Logging_1489/kartor/A 21662-2024 karta.png", "A 21662-2024")</f>
        <v/>
      </c>
      <c r="Y14">
        <f>HYPERLINK("https://klasma.github.io/Logging_1489/kartor_geotiff/A 21662-2024 georefererad karta.tif", "A 21662-2024")</f>
        <v/>
      </c>
      <c r="AA14">
        <f>HYPERLINK("https://klasma.github.io/Logging_1489/klagomål/A 21662-2024 FSC-klagomål.docx", "A 21662-2024")</f>
        <v/>
      </c>
      <c r="AB14">
        <f>HYPERLINK("https://klasma.github.io/Logging_1489/klagomålsmail/A 21662-2024 FSC-klagomål mail.docx", "A 21662-2024")</f>
        <v/>
      </c>
      <c r="AC14">
        <f>HYPERLINK("https://klasma.github.io/Logging_1489/tillsyn/A 21662-2024 tillsynsbegäran.docx", "A 21662-2024")</f>
        <v/>
      </c>
      <c r="AD14">
        <f>HYPERLINK("https://klasma.github.io/Logging_1489/tillsynsmail/A 21662-2024 tillsynsbegäran mail.docx", "A 21662-2024")</f>
        <v/>
      </c>
      <c r="AE14">
        <f>HYPERLINK("https://klasma.github.io/Logging_1489/fåglar/A 21662-2024 prioriterade fågelarter.docx", "A 21662-2024")</f>
        <v/>
      </c>
    </row>
    <row r="15" ht="15" customHeight="1">
      <c r="A15" t="inlineStr">
        <is>
          <t>A 57757-2024</t>
        </is>
      </c>
      <c r="B15" t="inlineStr">
        <is>
          <t>avverkningsanmälan</t>
        </is>
      </c>
      <c r="C15" t="inlineStr">
        <is>
          <t>Avverkning för att bevara och utveckla /försöksver</t>
        </is>
      </c>
      <c r="D15" s="1" t="n">
        <v>45630</v>
      </c>
      <c r="E15" s="1" t="n">
        <v>46317</v>
      </c>
      <c r="F15" t="inlineStr">
        <is>
          <t>VÄSTRA GÖTALANDS LÄN</t>
        </is>
      </c>
      <c r="G15" t="inlineStr">
        <is>
          <t>ALINGSÅS</t>
        </is>
      </c>
      <c r="H15" t="inlineStr">
        <is>
          <t>Kommuner</t>
        </is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4</v>
      </c>
      <c r="U15" t="n">
        <v>0</v>
      </c>
      <c r="V15" s="2" t="inlineStr">
        <is>
          <t>Kråka
Kungsfågel
Svartvit flugsnappare</t>
        </is>
      </c>
      <c r="W15">
        <f>HYPERLINK("https://klasma.github.io/Logging_1489/artfynd/A 57757-2024 artfynd.xlsx", "A 57757-2024")</f>
        <v/>
      </c>
      <c r="X15">
        <f>HYPERLINK("https://klasma.github.io/Logging_1489/kartor/A 57757-2024 karta.png", "A 57757-2024")</f>
        <v/>
      </c>
      <c r="Y15">
        <f>HYPERLINK("https://klasma.github.io/Logging_1489/kartor_geotiff/A 57757-2024 georefererad karta.tif", "A 57757-2024")</f>
        <v/>
      </c>
      <c r="AA15">
        <f>HYPERLINK("https://klasma.github.io/Logging_1489/klagomål/A 57757-2024 FSC-klagomål.docx", "A 57757-2024")</f>
        <v/>
      </c>
      <c r="AB15">
        <f>HYPERLINK("https://klasma.github.io/Logging_1489/klagomålsmail/A 57757-2024 FSC-klagomål mail.docx", "A 57757-2024")</f>
        <v/>
      </c>
      <c r="AC15">
        <f>HYPERLINK("https://klasma.github.io/Logging_1489/tillsyn/A 57757-2024 tillsynsbegäran.docx", "A 57757-2024")</f>
        <v/>
      </c>
      <c r="AD15">
        <f>HYPERLINK("https://klasma.github.io/Logging_1489/tillsynsmail/A 57757-2024 tillsynsbegäran mail.docx", "A 57757-2024")</f>
        <v/>
      </c>
    </row>
    <row r="16" ht="15" customHeight="1">
      <c r="A16" t="inlineStr">
        <is>
          <t>A 63479-2023</t>
        </is>
      </c>
      <c r="B16" t="inlineStr">
        <is>
          <t>avverkningsanmälan</t>
        </is>
      </c>
      <c r="C16" t="inlineStr">
        <is>
          <t>Avverkning för att bevara och utveckla /försöksver</t>
        </is>
      </c>
      <c r="D16" s="1" t="n">
        <v>45274</v>
      </c>
      <c r="E16" s="1" t="n">
        <v>46317</v>
      </c>
      <c r="F16" t="inlineStr">
        <is>
          <t>VÄSTRA GÖTALANDS LÄN</t>
        </is>
      </c>
      <c r="G16" t="inlineStr">
        <is>
          <t>ALINGSÅS</t>
        </is>
      </c>
      <c r="H16" t="inlineStr">
        <is>
          <t>Kommuner</t>
        </is>
      </c>
      <c r="I16" t="n">
        <v>6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3</v>
      </c>
      <c r="T16" t="n">
        <v>5</v>
      </c>
      <c r="U16" t="n">
        <v>2</v>
      </c>
      <c r="V16" s="2" t="inlineStr">
        <is>
          <t>Grönfink
Grönsångare
Grönsiska</t>
        </is>
      </c>
      <c r="W16">
        <f>HYPERLINK("https://klasma.github.io/Logging_1489/artfynd/A 63479-2023 artfynd.xlsx", "A 63479-2023")</f>
        <v/>
      </c>
      <c r="X16">
        <f>HYPERLINK("https://klasma.github.io/Logging_1489/kartor/A 63479-2023 karta.png", "A 63479-2023")</f>
        <v/>
      </c>
      <c r="Y16">
        <f>HYPERLINK("https://klasma.github.io/Logging_1489/kartor_geotiff/A 63479-2023 georefererad karta.tif", "A 63479-2023")</f>
        <v/>
      </c>
      <c r="AA16">
        <f>HYPERLINK("https://klasma.github.io/Logging_1489/klagomål/A 63479-2023 FSC-klagomål.docx", "A 63479-2023")</f>
        <v/>
      </c>
      <c r="AB16">
        <f>HYPERLINK("https://klasma.github.io/Logging_1489/klagomålsmail/A 63479-2023 FSC-klagomål mail.docx", "A 63479-2023")</f>
        <v/>
      </c>
      <c r="AC16">
        <f>HYPERLINK("https://klasma.github.io/Logging_1489/tillsyn/A 63479-2023 tillsynsbegäran.docx", "A 63479-2023")</f>
        <v/>
      </c>
      <c r="AD16">
        <f>HYPERLINK("https://klasma.github.io/Logging_1489/tillsynsmail/A 63479-2023 tillsynsbegäran mail.docx", "A 63479-2023")</f>
        <v/>
      </c>
      <c r="AE16">
        <f>HYPERLINK("https://klasma.github.io/Logging_1489/fåglar/A 63479-2023 prioriterade fågelarter.docx", "A 63479-2023")</f>
        <v/>
      </c>
    </row>
    <row r="17" ht="15" customHeight="1">
      <c r="A17" t="inlineStr">
        <is>
          <t>A 56053-2023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45240</v>
      </c>
      <c r="E17" s="1" t="n">
        <v>46317</v>
      </c>
      <c r="F17" t="inlineStr">
        <is>
          <t>VÄSTRA GÖTALANDS LÄN</t>
        </is>
      </c>
      <c r="G17" t="inlineStr">
        <is>
          <t>ALINGSÅS</t>
        </is>
      </c>
      <c r="I17" t="n">
        <v>3.2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7</v>
      </c>
      <c r="U17" t="n">
        <v>5</v>
      </c>
      <c r="V17" s="2" t="inlineStr">
        <is>
          <t>Jungfrulin
Orange taggsvamp
Vanlig groda</t>
        </is>
      </c>
      <c r="W17">
        <f>HYPERLINK("https://klasma.github.io/Logging_1489/artfynd/A 56053-2023 artfynd.xlsx", "A 56053-2023")</f>
        <v/>
      </c>
      <c r="X17">
        <f>HYPERLINK("https://klasma.github.io/Logging_1489/kartor/A 56053-2023 karta.png", "A 56053-2023")</f>
        <v/>
      </c>
      <c r="Y17">
        <f>HYPERLINK("https://klasma.github.io/Logging_1489/kartor_geotiff/A 56053-2023 georefererad karta.tif", "A 56053-2023")</f>
        <v/>
      </c>
      <c r="AA17">
        <f>HYPERLINK("https://klasma.github.io/Logging_1489/klagomål/A 56053-2023 FSC-klagomål.docx", "A 56053-2023")</f>
        <v/>
      </c>
      <c r="AB17">
        <f>HYPERLINK("https://klasma.github.io/Logging_1489/klagomålsmail/A 56053-2023 FSC-klagomål mail.docx", "A 56053-2023")</f>
        <v/>
      </c>
      <c r="AC17">
        <f>HYPERLINK("https://klasma.github.io/Logging_1489/tillsyn/A 56053-2023 tillsynsbegäran.docx", "A 56053-2023")</f>
        <v/>
      </c>
      <c r="AD17">
        <f>HYPERLINK("https://klasma.github.io/Logging_1489/tillsynsmail/A 56053-2023 tillsynsbegäran mail.docx", "A 56053-2023")</f>
        <v/>
      </c>
    </row>
    <row r="18" ht="15" customHeight="1">
      <c r="A18" t="inlineStr">
        <is>
          <t>A 24844-2026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46174</v>
      </c>
      <c r="E18" s="1" t="n">
        <v>46317</v>
      </c>
      <c r="F18" t="inlineStr">
        <is>
          <t>VÄSTRA GÖTALANDS LÄN</t>
        </is>
      </c>
      <c r="G18" t="inlineStr">
        <is>
          <t>ALINGSÅS</t>
        </is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6</v>
      </c>
      <c r="U18" t="n">
        <v>6</v>
      </c>
      <c r="V18" s="2" t="inlineStr">
        <is>
          <t>Blåmossa
Västlig hakmossa
Spillkråka</t>
        </is>
      </c>
      <c r="W18">
        <f>HYPERLINK("https://klasma.github.io/Logging_1489/artfynd/A 24844-2026 artfynd.xlsx", "A 24844-2026")</f>
        <v/>
      </c>
      <c r="X18">
        <f>HYPERLINK("https://klasma.github.io/Logging_1489/kartor/A 24844-2026 karta.png", "A 24844-2026")</f>
        <v/>
      </c>
      <c r="Y18">
        <f>HYPERLINK("https://klasma.github.io/Logging_1489/kartor_geotiff/A 24844-2026 georefererad karta.tif", "A 24844-2026")</f>
        <v/>
      </c>
      <c r="AA18">
        <f>HYPERLINK("https://klasma.github.io/Logging_1489/klagomål/A 24844-2026 FSC-klagomål.docx", "A 24844-2026")</f>
        <v/>
      </c>
      <c r="AB18">
        <f>HYPERLINK("https://klasma.github.io/Logging_1489/klagomålsmail/A 24844-2026 FSC-klagomål mail.docx", "A 24844-2026")</f>
        <v/>
      </c>
      <c r="AC18">
        <f>HYPERLINK("https://klasma.github.io/Logging_1489/tillsyn/A 24844-2026 tillsynsbegäran.docx", "A 24844-2026")</f>
        <v/>
      </c>
      <c r="AD18">
        <f>HYPERLINK("https://klasma.github.io/Logging_1489/tillsynsmail/A 24844-2026 tillsynsbegäran mail.docx", "A 24844-2026")</f>
        <v/>
      </c>
      <c r="AE18">
        <f>HYPERLINK("https://klasma.github.io/Logging_1489/fåglar/A 24844-2026 prioriterade fågelarter.docx", "A 24844-2026")</f>
        <v/>
      </c>
    </row>
    <row r="19" ht="15" customHeight="1">
      <c r="A19" t="inlineStr">
        <is>
          <t>A 27403-2026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46189</v>
      </c>
      <c r="E19" s="1" t="n">
        <v>46317</v>
      </c>
      <c r="F19" t="inlineStr">
        <is>
          <t>VÄSTRA GÖTALANDS LÄN</t>
        </is>
      </c>
      <c r="G19" t="inlineStr">
        <is>
          <t>ALINGSÅS</t>
        </is>
      </c>
      <c r="I19" t="n">
        <v>2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6</v>
      </c>
      <c r="U19" t="n">
        <v>6</v>
      </c>
      <c r="V19" s="2" t="inlineStr">
        <is>
          <t>Blåmossa
Västlig hakmossa
Spillkråka</t>
        </is>
      </c>
      <c r="W19">
        <f>HYPERLINK("https://klasma.github.io/Logging_1489/artfynd/A 27403-2026 artfynd.xlsx", "A 27403-2026")</f>
        <v/>
      </c>
      <c r="X19">
        <f>HYPERLINK("https://klasma.github.io/Logging_1489/kartor/A 27403-2026 karta.png", "A 27403-2026")</f>
        <v/>
      </c>
      <c r="Y19">
        <f>HYPERLINK("https://klasma.github.io/Logging_1489/kartor_geotiff/A 27403-2026 georefererad karta.tif", "A 27403-2026")</f>
        <v/>
      </c>
      <c r="AA19">
        <f>HYPERLINK("https://klasma.github.io/Logging_1489/klagomål/A 27403-2026 FSC-klagomål.docx", "A 27403-2026")</f>
        <v/>
      </c>
      <c r="AB19">
        <f>HYPERLINK("https://klasma.github.io/Logging_1489/klagomålsmail/A 27403-2026 FSC-klagomål mail.docx", "A 27403-2026")</f>
        <v/>
      </c>
      <c r="AC19">
        <f>HYPERLINK("https://klasma.github.io/Logging_1489/tillsyn/A 27403-2026 tillsynsbegäran.docx", "A 27403-2026")</f>
        <v/>
      </c>
      <c r="AD19">
        <f>HYPERLINK("https://klasma.github.io/Logging_1489/tillsynsmail/A 27403-2026 tillsynsbegäran mail.docx", "A 27403-2026")</f>
        <v/>
      </c>
      <c r="AE19">
        <f>HYPERLINK("https://klasma.github.io/Logging_1489/fåglar/A 27403-2026 prioriterade fågelarter.docx", "A 27403-2026")</f>
        <v/>
      </c>
    </row>
    <row r="20" ht="15" customHeight="1">
      <c r="A20" t="inlineStr">
        <is>
          <t>A 37489-2026</t>
        </is>
      </c>
      <c r="B20" t="inlineStr">
        <is>
          <t>avverkningsanmälan</t>
        </is>
      </c>
      <c r="C20" t="inlineStr">
        <is>
          <t>Avverkning för annat ändamål</t>
        </is>
      </c>
      <c r="D20" s="1" t="n">
        <v>46275</v>
      </c>
      <c r="E20" s="1" t="n">
        <v>46317</v>
      </c>
      <c r="F20" t="inlineStr">
        <is>
          <t>VÄSTRA GÖTALANDS LÄN</t>
        </is>
      </c>
      <c r="G20" t="inlineStr">
        <is>
          <t>ALINGSÅS</t>
        </is>
      </c>
      <c r="I20" t="n">
        <v>1.6</v>
      </c>
      <c r="J20" t="n">
        <v>3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3</v>
      </c>
      <c r="U20" t="n">
        <v>0</v>
      </c>
      <c r="V20" s="2" t="inlineStr">
        <is>
          <t>Tornseglare
Gulsparv
Törnskata</t>
        </is>
      </c>
      <c r="W20">
        <f>HYPERLINK("https://klasma.github.io/Logging_1489/artfynd/A 37489-2026 artfynd.xlsx", "A 37489-2026")</f>
        <v/>
      </c>
      <c r="X20">
        <f>HYPERLINK("https://klasma.github.io/Logging_1489/kartor/A 37489-2026 karta.png", "A 37489-2026")</f>
        <v/>
      </c>
      <c r="Y20">
        <f>HYPERLINK("https://klasma.github.io/Logging_1489/kartor_geotiff/A 37489-2026 georefererad karta.tif", "A 37489-2026")</f>
        <v/>
      </c>
      <c r="AA20">
        <f>HYPERLINK("https://klasma.github.io/Logging_1489/klagomål/A 37489-2026 FSC-klagomål.docx", "A 37489-2026")</f>
        <v/>
      </c>
      <c r="AB20">
        <f>HYPERLINK("https://klasma.github.io/Logging_1489/klagomålsmail/A 37489-2026 FSC-klagomål mail.docx", "A 37489-2026")</f>
        <v/>
      </c>
      <c r="AC20">
        <f>HYPERLINK("https://klasma.github.io/Logging_1489/tillsyn/A 37489-2026 tillsynsbegäran.docx", "A 37489-2026")</f>
        <v/>
      </c>
      <c r="AD20">
        <f>HYPERLINK("https://klasma.github.io/Logging_1489/tillsynsmail/A 37489-2026 tillsynsbegäran mail.docx", "A 37489-2026")</f>
        <v/>
      </c>
      <c r="AE20">
        <f>HYPERLINK("https://klasma.github.io/Logging_1489/fåglar/A 37489-2026 prioriterade fågelarter.docx", "A 37489-2026")</f>
        <v/>
      </c>
    </row>
    <row r="21" ht="15" customHeight="1">
      <c r="A21" t="inlineStr">
        <is>
          <t>A 51909-2024</t>
        </is>
      </c>
      <c r="B21" t="inlineStr">
        <is>
          <t>avverkningsanmälan</t>
        </is>
      </c>
      <c r="C21" t="inlineStr">
        <is>
          <t>Avverkning för annat ändamål</t>
        </is>
      </c>
      <c r="D21" s="1" t="n">
        <v>45607</v>
      </c>
      <c r="E21" s="1" t="n">
        <v>46317</v>
      </c>
      <c r="F21" t="inlineStr">
        <is>
          <t>VÄSTRA GÖTALANDS LÄN</t>
        </is>
      </c>
      <c r="G21" t="inlineStr">
        <is>
          <t>ALINGSÅS</t>
        </is>
      </c>
      <c r="I21" t="n">
        <v>2.5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s="2" t="inlineStr">
        <is>
          <t>Strandlummer
Större träfjäril</t>
        </is>
      </c>
      <c r="W21">
        <f>HYPERLINK("https://klasma.github.io/Logging_1489/artfynd/A 51909-2024 artfynd.xlsx", "A 51909-2024")</f>
        <v/>
      </c>
      <c r="X21">
        <f>HYPERLINK("https://klasma.github.io/Logging_1489/kartor/A 51909-2024 karta.png", "A 51909-2024")</f>
        <v/>
      </c>
      <c r="Y21">
        <f>HYPERLINK("https://klasma.github.io/Logging_1489/kartor_geotiff/A 51909-2024 georefererad karta.tif", "A 51909-2024")</f>
        <v/>
      </c>
      <c r="AA21">
        <f>HYPERLINK("https://klasma.github.io/Logging_1489/klagomål/A 51909-2024 FSC-klagomål.docx", "A 51909-2024")</f>
        <v/>
      </c>
      <c r="AB21">
        <f>HYPERLINK("https://klasma.github.io/Logging_1489/klagomålsmail/A 51909-2024 FSC-klagomål mail.docx", "A 51909-2024")</f>
        <v/>
      </c>
      <c r="AC21">
        <f>HYPERLINK("https://klasma.github.io/Logging_1489/tillsyn/A 51909-2024 tillsynsbegäran.docx", "A 51909-2024")</f>
        <v/>
      </c>
      <c r="AD21">
        <f>HYPERLINK("https://klasma.github.io/Logging_1489/tillsynsmail/A 51909-2024 tillsynsbegäran mail.docx", "A 51909-2024")</f>
        <v/>
      </c>
    </row>
    <row r="22" ht="15" customHeight="1">
      <c r="A22" t="inlineStr">
        <is>
          <t>A 64182-2023</t>
        </is>
      </c>
      <c r="B22" t="inlineStr">
        <is>
          <t>avverkningsanmälan</t>
        </is>
      </c>
      <c r="C22" t="inlineStr">
        <is>
          <t>Avverkning för att bevara och utveckla /försöksver</t>
        </is>
      </c>
      <c r="D22" s="1" t="n">
        <v>45279</v>
      </c>
      <c r="E22" s="1" t="n">
        <v>46317</v>
      </c>
      <c r="F22" t="inlineStr">
        <is>
          <t>VÄSTRA GÖTALANDS LÄN</t>
        </is>
      </c>
      <c r="G22" t="inlineStr">
        <is>
          <t>ALINGSÅS</t>
        </is>
      </c>
      <c r="H22" t="inlineStr">
        <is>
          <t>Kommuner</t>
        </is>
      </c>
      <c r="I22" t="n">
        <v>0.9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3</v>
      </c>
      <c r="U22" t="n">
        <v>3</v>
      </c>
      <c r="V22" s="2" t="inlineStr">
        <is>
          <t>Spillkråka
Revlummer</t>
        </is>
      </c>
      <c r="W22">
        <f>HYPERLINK("https://klasma.github.io/Logging_1489/artfynd/A 64182-2023 artfynd.xlsx", "A 64182-2023")</f>
        <v/>
      </c>
      <c r="X22">
        <f>HYPERLINK("https://klasma.github.io/Logging_1489/kartor/A 64182-2023 karta.png", "A 64182-2023")</f>
        <v/>
      </c>
      <c r="Y22">
        <f>HYPERLINK("https://klasma.github.io/Logging_1489/kartor_geotiff/A 64182-2023 georefererad karta.tif", "A 64182-2023")</f>
        <v/>
      </c>
      <c r="AA22">
        <f>HYPERLINK("https://klasma.github.io/Logging_1489/klagomål/A 64182-2023 FSC-klagomål.docx", "A 64182-2023")</f>
        <v/>
      </c>
      <c r="AB22">
        <f>HYPERLINK("https://klasma.github.io/Logging_1489/klagomålsmail/A 64182-2023 FSC-klagomål mail.docx", "A 64182-2023")</f>
        <v/>
      </c>
      <c r="AC22">
        <f>HYPERLINK("https://klasma.github.io/Logging_1489/tillsyn/A 64182-2023 tillsynsbegäran.docx", "A 64182-2023")</f>
        <v/>
      </c>
      <c r="AD22">
        <f>HYPERLINK("https://klasma.github.io/Logging_1489/tillsynsmail/A 64182-2023 tillsynsbegäran mail.docx", "A 64182-2023")</f>
        <v/>
      </c>
      <c r="AE22">
        <f>HYPERLINK("https://klasma.github.io/Logging_1489/fåglar/A 64182-2023 prioriterade fågelarter.docx", "A 64182-2023")</f>
        <v/>
      </c>
    </row>
    <row r="23" ht="15" customHeight="1">
      <c r="A23" t="inlineStr">
        <is>
          <t>A 57759-2024</t>
        </is>
      </c>
      <c r="B23" t="inlineStr">
        <is>
          <t>avverkningsanmälan</t>
        </is>
      </c>
      <c r="C23" t="inlineStr">
        <is>
          <t>Avverkning för att bevara och utveckla /försöksver</t>
        </is>
      </c>
      <c r="D23" s="1" t="n">
        <v>45630</v>
      </c>
      <c r="E23" s="1" t="n">
        <v>46317</v>
      </c>
      <c r="F23" t="inlineStr">
        <is>
          <t>VÄSTRA GÖTALANDS LÄN</t>
        </is>
      </c>
      <c r="G23" t="inlineStr">
        <is>
          <t>ALINGSÅS</t>
        </is>
      </c>
      <c r="H23" t="inlineStr">
        <is>
          <t>Kommuner</t>
        </is>
      </c>
      <c r="I23" t="n">
        <v>4.5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s="2" t="inlineStr">
        <is>
          <t>Spillkråka
Kungsfågel</t>
        </is>
      </c>
      <c r="W23">
        <f>HYPERLINK("https://klasma.github.io/Logging_1489/artfynd/A 57759-2024 artfynd.xlsx", "A 57759-2024")</f>
        <v/>
      </c>
      <c r="X23">
        <f>HYPERLINK("https://klasma.github.io/Logging_1489/kartor/A 57759-2024 karta.png", "A 57759-2024")</f>
        <v/>
      </c>
      <c r="Y23">
        <f>HYPERLINK("https://klasma.github.io/Logging_1489/kartor_geotiff/A 57759-2024 georefererad karta.tif", "A 57759-2024")</f>
        <v/>
      </c>
      <c r="AA23">
        <f>HYPERLINK("https://klasma.github.io/Logging_1489/klagomål/A 57759-2024 FSC-klagomål.docx", "A 57759-2024")</f>
        <v/>
      </c>
      <c r="AB23">
        <f>HYPERLINK("https://klasma.github.io/Logging_1489/klagomålsmail/A 57759-2024 FSC-klagomål mail.docx", "A 57759-2024")</f>
        <v/>
      </c>
      <c r="AC23">
        <f>HYPERLINK("https://klasma.github.io/Logging_1489/tillsyn/A 57759-2024 tillsynsbegäran.docx", "A 57759-2024")</f>
        <v/>
      </c>
      <c r="AD23">
        <f>HYPERLINK("https://klasma.github.io/Logging_1489/tillsynsmail/A 57759-2024 tillsynsbegäran mail.docx", "A 57759-2024")</f>
        <v/>
      </c>
      <c r="AE23">
        <f>HYPERLINK("https://klasma.github.io/Logging_1489/fåglar/A 57759-2024 prioriterade fågelarter.docx", "A 57759-2024")</f>
        <v/>
      </c>
    </row>
    <row r="24" ht="15" customHeight="1">
      <c r="A24" t="inlineStr">
        <is>
          <t>A 4187-2026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46044</v>
      </c>
      <c r="E24" s="1" t="n">
        <v>46317</v>
      </c>
      <c r="F24" t="inlineStr">
        <is>
          <t>VÄSTRA GÖTALANDS LÄN</t>
        </is>
      </c>
      <c r="G24" t="inlineStr">
        <is>
          <t>ALINGSÅS</t>
        </is>
      </c>
      <c r="I24" t="n">
        <v>5.9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s="2" t="inlineStr">
        <is>
          <t>Vågbandad barkbock
Nattskärra</t>
        </is>
      </c>
      <c r="W24">
        <f>HYPERLINK("https://klasma.github.io/Logging_1489/artfynd/A 4187-2026 artfynd.xlsx", "A 4187-2026")</f>
        <v/>
      </c>
      <c r="X24">
        <f>HYPERLINK("https://klasma.github.io/Logging_1489/kartor/A 4187-2026 karta.png", "A 4187-2026")</f>
        <v/>
      </c>
      <c r="Y24">
        <f>HYPERLINK("https://klasma.github.io/Logging_1489/kartor_geotiff/A 4187-2026 georefererad karta.tif", "A 4187-2026")</f>
        <v/>
      </c>
      <c r="AA24">
        <f>HYPERLINK("https://klasma.github.io/Logging_1489/klagomål/A 4187-2026 FSC-klagomål.docx", "A 4187-2026")</f>
        <v/>
      </c>
      <c r="AB24">
        <f>HYPERLINK("https://klasma.github.io/Logging_1489/klagomålsmail/A 4187-2026 FSC-klagomål mail.docx", "A 4187-2026")</f>
        <v/>
      </c>
      <c r="AC24">
        <f>HYPERLINK("https://klasma.github.io/Logging_1489/tillsyn/A 4187-2026 tillsynsbegäran.docx", "A 4187-2026")</f>
        <v/>
      </c>
      <c r="AD24">
        <f>HYPERLINK("https://klasma.github.io/Logging_1489/tillsynsmail/A 4187-2026 tillsynsbegäran mail.docx", "A 4187-2026")</f>
        <v/>
      </c>
      <c r="AE24">
        <f>HYPERLINK("https://klasma.github.io/Logging_1489/fåglar/A 4187-2026 prioriterade fågelarter.docx", "A 4187-2026")</f>
        <v/>
      </c>
    </row>
    <row r="25" ht="15" customHeight="1">
      <c r="A25" t="inlineStr">
        <is>
          <t>A 33174-2026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46245</v>
      </c>
      <c r="E25" s="1" t="n">
        <v>46317</v>
      </c>
      <c r="F25" t="inlineStr">
        <is>
          <t>VÄSTRA GÖTALANDS LÄN</t>
        </is>
      </c>
      <c r="G25" t="inlineStr">
        <is>
          <t>ALINGSÅS</t>
        </is>
      </c>
      <c r="I25" t="n">
        <v>2.8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2</v>
      </c>
      <c r="T25" t="n">
        <v>2</v>
      </c>
      <c r="U25" t="n">
        <v>0</v>
      </c>
      <c r="V25" s="2" t="inlineStr">
        <is>
          <t>Svart skogssnigel
Havstulpanlav</t>
        </is>
      </c>
      <c r="W25">
        <f>HYPERLINK("https://klasma.github.io/Logging_1489/artfynd/A 33174-2026 artfynd.xlsx", "A 33174-2026")</f>
        <v/>
      </c>
      <c r="X25">
        <f>HYPERLINK("https://klasma.github.io/Logging_1489/kartor/A 33174-2026 karta.png", "A 33174-2026")</f>
        <v/>
      </c>
      <c r="Y25">
        <f>HYPERLINK("https://klasma.github.io/Logging_1489/kartor_geotiff/A 33174-2026 georefererad karta.tif", "A 33174-2026")</f>
        <v/>
      </c>
      <c r="AA25">
        <f>HYPERLINK("https://klasma.github.io/Logging_1489/klagomål/A 33174-2026 FSC-klagomål.docx", "A 33174-2026")</f>
        <v/>
      </c>
      <c r="AB25">
        <f>HYPERLINK("https://klasma.github.io/Logging_1489/klagomålsmail/A 33174-2026 FSC-klagomål mail.docx", "A 33174-2026")</f>
        <v/>
      </c>
      <c r="AC25">
        <f>HYPERLINK("https://klasma.github.io/Logging_1489/tillsyn/A 33174-2026 tillsynsbegäran.docx", "A 33174-2026")</f>
        <v/>
      </c>
      <c r="AD25">
        <f>HYPERLINK("https://klasma.github.io/Logging_1489/tillsynsmail/A 33174-2026 tillsynsbegäran mail.docx", "A 33174-2026")</f>
        <v/>
      </c>
    </row>
    <row r="26" ht="15" customHeight="1">
      <c r="A26" t="inlineStr">
        <is>
          <t>A 62603-2023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45271</v>
      </c>
      <c r="E26" s="1" t="n">
        <v>46317</v>
      </c>
      <c r="F26" t="inlineStr">
        <is>
          <t>VÄSTRA GÖTALANDS LÄN</t>
        </is>
      </c>
      <c r="G26" t="inlineStr">
        <is>
          <t>ALINGSÅS</t>
        </is>
      </c>
      <c r="H26" t="inlineStr">
        <is>
          <t>Kyrkan</t>
        </is>
      </c>
      <c r="I26" t="n">
        <v>4.9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Duvhök</t>
        </is>
      </c>
      <c r="W26">
        <f>HYPERLINK("https://klasma.github.io/Logging_1489/artfynd/A 62603-2023 artfynd.xlsx", "A 62603-2023")</f>
        <v/>
      </c>
      <c r="X26">
        <f>HYPERLINK("https://klasma.github.io/Logging_1489/kartor/A 62603-2023 karta.png", "A 62603-2023")</f>
        <v/>
      </c>
      <c r="Y26">
        <f>HYPERLINK("https://klasma.github.io/Logging_1489/kartor_geotiff/A 62603-2023 georefererad karta.tif", "A 62603-2023")</f>
        <v/>
      </c>
      <c r="AA26">
        <f>HYPERLINK("https://klasma.github.io/Logging_1489/klagomål/A 62603-2023 FSC-klagomål.docx", "A 62603-2023")</f>
        <v/>
      </c>
      <c r="AB26">
        <f>HYPERLINK("https://klasma.github.io/Logging_1489/klagomålsmail/A 62603-2023 FSC-klagomål mail.docx", "A 62603-2023")</f>
        <v/>
      </c>
      <c r="AC26">
        <f>HYPERLINK("https://klasma.github.io/Logging_1489/tillsyn/A 62603-2023 tillsynsbegäran.docx", "A 62603-2023")</f>
        <v/>
      </c>
      <c r="AD26">
        <f>HYPERLINK("https://klasma.github.io/Logging_1489/tillsynsmail/A 62603-2023 tillsynsbegäran mail.docx", "A 62603-2023")</f>
        <v/>
      </c>
      <c r="AE26">
        <f>HYPERLINK("https://klasma.github.io/Logging_1489/fåglar/A 62603-2023 prioriterade fågelarter.docx", "A 62603-2023")</f>
        <v/>
      </c>
    </row>
    <row r="27" ht="15" customHeight="1">
      <c r="A27" t="inlineStr">
        <is>
          <t>A 51927-2024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45607</v>
      </c>
      <c r="E27" s="1" t="n">
        <v>46317</v>
      </c>
      <c r="F27" t="inlineStr">
        <is>
          <t>VÄSTRA GÖTALANDS LÄN</t>
        </is>
      </c>
      <c r="G27" t="inlineStr">
        <is>
          <t>ALINGSÅS</t>
        </is>
      </c>
      <c r="I27" t="n">
        <v>2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Strandlummer</t>
        </is>
      </c>
      <c r="W27">
        <f>HYPERLINK("https://klasma.github.io/Logging_1489/artfynd/A 51927-2024 artfynd.xlsx", "A 51927-2024")</f>
        <v/>
      </c>
      <c r="X27">
        <f>HYPERLINK("https://klasma.github.io/Logging_1489/kartor/A 51927-2024 karta.png", "A 51927-2024")</f>
        <v/>
      </c>
      <c r="Y27">
        <f>HYPERLINK("https://klasma.github.io/Logging_1489/kartor_geotiff/A 51927-2024 georefererad karta.tif", "A 51927-2024")</f>
        <v/>
      </c>
      <c r="AA27">
        <f>HYPERLINK("https://klasma.github.io/Logging_1489/klagomål/A 51927-2024 FSC-klagomål.docx", "A 51927-2024")</f>
        <v/>
      </c>
      <c r="AB27">
        <f>HYPERLINK("https://klasma.github.io/Logging_1489/klagomålsmail/A 51927-2024 FSC-klagomål mail.docx", "A 51927-2024")</f>
        <v/>
      </c>
      <c r="AC27">
        <f>HYPERLINK("https://klasma.github.io/Logging_1489/tillsyn/A 51927-2024 tillsynsbegäran.docx", "A 51927-2024")</f>
        <v/>
      </c>
      <c r="AD27">
        <f>HYPERLINK("https://klasma.github.io/Logging_1489/tillsynsmail/A 51927-2024 tillsynsbegäran mail.docx", "A 51927-2024")</f>
        <v/>
      </c>
    </row>
    <row r="28" ht="15" customHeight="1">
      <c r="A28" t="inlineStr">
        <is>
          <t>A 39240-2025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45889</v>
      </c>
      <c r="E28" s="1" t="n">
        <v>46317</v>
      </c>
      <c r="F28" t="inlineStr">
        <is>
          <t>VÄSTRA GÖTALANDS LÄN</t>
        </is>
      </c>
      <c r="G28" t="inlineStr">
        <is>
          <t>ALINGSÅS</t>
        </is>
      </c>
      <c r="I28" t="n">
        <v>4.8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2</v>
      </c>
      <c r="U28" t="n">
        <v>1</v>
      </c>
      <c r="V28" s="2" t="inlineStr">
        <is>
          <t>Knärot</t>
        </is>
      </c>
      <c r="W28">
        <f>HYPERLINK("https://klasma.github.io/Logging_1489/artfynd/A 39240-2025 artfynd.xlsx", "A 39240-2025")</f>
        <v/>
      </c>
      <c r="X28">
        <f>HYPERLINK("https://klasma.github.io/Logging_1489/kartor/A 39240-2025 karta.png", "A 39240-2025")</f>
        <v/>
      </c>
      <c r="Y28">
        <f>HYPERLINK("https://klasma.github.io/Logging_1489/kartor_geotiff/A 39240-2025 georefererad karta.tif", "A 39240-2025")</f>
        <v/>
      </c>
      <c r="Z28">
        <f>HYPERLINK("https://klasma.github.io/Logging_1489/knärot/A 39240-2025 karta knärot.png", "A 39240-2025")</f>
        <v/>
      </c>
      <c r="AA28">
        <f>HYPERLINK("https://klasma.github.io/Logging_1489/klagomål/A 39240-2025 FSC-klagomål.docx", "A 39240-2025")</f>
        <v/>
      </c>
      <c r="AB28">
        <f>HYPERLINK("https://klasma.github.io/Logging_1489/klagomålsmail/A 39240-2025 FSC-klagomål mail.docx", "A 39240-2025")</f>
        <v/>
      </c>
      <c r="AC28">
        <f>HYPERLINK("https://klasma.github.io/Logging_1489/tillsyn/A 39240-2025 tillsynsbegäran.docx", "A 39240-2025")</f>
        <v/>
      </c>
      <c r="AD28">
        <f>HYPERLINK("https://klasma.github.io/Logging_1489/tillsynsmail/A 39240-2025 tillsynsbegäran mail.docx", "A 39240-2025")</f>
        <v/>
      </c>
    </row>
    <row r="29" ht="15" customHeight="1">
      <c r="A29" t="inlineStr">
        <is>
          <t>A 10542-2024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45366</v>
      </c>
      <c r="E29" s="1" t="n">
        <v>46317</v>
      </c>
      <c r="F29" t="inlineStr">
        <is>
          <t>VÄSTRA GÖTALANDS LÄN</t>
        </is>
      </c>
      <c r="G29" t="inlineStr">
        <is>
          <t>ALINGSÅS</t>
        </is>
      </c>
      <c r="I29" t="n">
        <v>2.6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Blodticka</t>
        </is>
      </c>
      <c r="W29">
        <f>HYPERLINK("https://klasma.github.io/Logging_1489/artfynd/A 10542-2024 artfynd.xlsx", "A 10542-2024")</f>
        <v/>
      </c>
      <c r="X29">
        <f>HYPERLINK("https://klasma.github.io/Logging_1489/kartor/A 10542-2024 karta.png", "A 10542-2024")</f>
        <v/>
      </c>
      <c r="Y29">
        <f>HYPERLINK("https://klasma.github.io/Logging_1489/kartor_geotiff/A 10542-2024 georefererad karta.tif", "A 10542-2024")</f>
        <v/>
      </c>
      <c r="AA29">
        <f>HYPERLINK("https://klasma.github.io/Logging_1489/klagomål/A 10542-2024 FSC-klagomål.docx", "A 10542-2024")</f>
        <v/>
      </c>
      <c r="AB29">
        <f>HYPERLINK("https://klasma.github.io/Logging_1489/klagomålsmail/A 10542-2024 FSC-klagomål mail.docx", "A 10542-2024")</f>
        <v/>
      </c>
      <c r="AC29">
        <f>HYPERLINK("https://klasma.github.io/Logging_1489/tillsyn/A 10542-2024 tillsynsbegäran.docx", "A 10542-2024")</f>
        <v/>
      </c>
      <c r="AD29">
        <f>HYPERLINK("https://klasma.github.io/Logging_1489/tillsynsmail/A 10542-2024 tillsynsbegäran mail.docx", "A 10542-2024")</f>
        <v/>
      </c>
    </row>
    <row r="30" ht="15" customHeight="1">
      <c r="A30" t="inlineStr">
        <is>
          <t>A 4205-2026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46044</v>
      </c>
      <c r="E30" s="1" t="n">
        <v>46317</v>
      </c>
      <c r="F30" t="inlineStr">
        <is>
          <t>VÄSTRA GÖTALANDS LÄN</t>
        </is>
      </c>
      <c r="G30" t="inlineStr">
        <is>
          <t>ALINGSÅS</t>
        </is>
      </c>
      <c r="I30" t="n">
        <v>5.8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Spillkråka</t>
        </is>
      </c>
      <c r="W30">
        <f>HYPERLINK("https://klasma.github.io/Logging_1489/artfynd/A 4205-2026 artfynd.xlsx", "A 4205-2026")</f>
        <v/>
      </c>
      <c r="X30">
        <f>HYPERLINK("https://klasma.github.io/Logging_1489/kartor/A 4205-2026 karta.png", "A 4205-2026")</f>
        <v/>
      </c>
      <c r="Y30">
        <f>HYPERLINK("https://klasma.github.io/Logging_1489/kartor_geotiff/A 4205-2026 georefererad karta.tif", "A 4205-2026")</f>
        <v/>
      </c>
      <c r="AA30">
        <f>HYPERLINK("https://klasma.github.io/Logging_1489/klagomål/A 4205-2026 FSC-klagomål.docx", "A 4205-2026")</f>
        <v/>
      </c>
      <c r="AB30">
        <f>HYPERLINK("https://klasma.github.io/Logging_1489/klagomålsmail/A 4205-2026 FSC-klagomål mail.docx", "A 4205-2026")</f>
        <v/>
      </c>
      <c r="AC30">
        <f>HYPERLINK("https://klasma.github.io/Logging_1489/tillsyn/A 4205-2026 tillsynsbegäran.docx", "A 4205-2026")</f>
        <v/>
      </c>
      <c r="AD30">
        <f>HYPERLINK("https://klasma.github.io/Logging_1489/tillsynsmail/A 4205-2026 tillsynsbegäran mail.docx", "A 4205-2026")</f>
        <v/>
      </c>
      <c r="AE30">
        <f>HYPERLINK("https://klasma.github.io/Logging_1489/fåglar/A 4205-2026 prioriterade fågelarter.docx", "A 4205-2026")</f>
        <v/>
      </c>
    </row>
    <row r="31" ht="15" customHeight="1">
      <c r="A31" t="inlineStr">
        <is>
          <t>A 27283-2025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45812</v>
      </c>
      <c r="E31" s="1" t="n">
        <v>46317</v>
      </c>
      <c r="F31" t="inlineStr">
        <is>
          <t>VÄSTRA GÖTALANDS LÄN</t>
        </is>
      </c>
      <c r="G31" t="inlineStr">
        <is>
          <t>ALINGSÅS</t>
        </is>
      </c>
      <c r="I31" t="n">
        <v>3.1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s="2" t="inlineStr">
        <is>
          <t>Revlummer</t>
        </is>
      </c>
      <c r="W31">
        <f>HYPERLINK("https://klasma.github.io/Logging_1489/artfynd/A 27283-2025 artfynd.xlsx", "A 27283-2025")</f>
        <v/>
      </c>
      <c r="X31">
        <f>HYPERLINK("https://klasma.github.io/Logging_1489/kartor/A 27283-2025 karta.png", "A 27283-2025")</f>
        <v/>
      </c>
      <c r="Y31">
        <f>HYPERLINK("https://klasma.github.io/Logging_1489/kartor_geotiff/A 27283-2025 georefererad karta.tif", "A 27283-2025")</f>
        <v/>
      </c>
      <c r="AA31">
        <f>HYPERLINK("https://klasma.github.io/Logging_1489/klagomål/A 27283-2025 FSC-klagomål.docx", "A 27283-2025")</f>
        <v/>
      </c>
      <c r="AB31">
        <f>HYPERLINK("https://klasma.github.io/Logging_1489/klagomålsmail/A 27283-2025 FSC-klagomål mail.docx", "A 27283-2025")</f>
        <v/>
      </c>
      <c r="AC31">
        <f>HYPERLINK("https://klasma.github.io/Logging_1489/tillsyn/A 27283-2025 tillsynsbegäran.docx", "A 27283-2025")</f>
        <v/>
      </c>
      <c r="AD31">
        <f>HYPERLINK("https://klasma.github.io/Logging_1489/tillsynsmail/A 27283-2025 tillsynsbegäran mail.docx", "A 27283-2025")</f>
        <v/>
      </c>
    </row>
    <row r="32" ht="15" customHeight="1">
      <c r="A32" t="inlineStr">
        <is>
          <t>A 29313-2024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45483</v>
      </c>
      <c r="E32" s="1" t="n">
        <v>46317</v>
      </c>
      <c r="F32" t="inlineStr">
        <is>
          <t>VÄSTRA GÖTALANDS LÄN</t>
        </is>
      </c>
      <c r="G32" t="inlineStr">
        <is>
          <t>ALINGSÅS</t>
        </is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0</v>
      </c>
      <c r="V32" s="2" t="inlineStr">
        <is>
          <t>Revlummer</t>
        </is>
      </c>
      <c r="W32">
        <f>HYPERLINK("https://klasma.github.io/Logging_1489/artfynd/A 29313-2024 artfynd.xlsx", "A 29313-2024")</f>
        <v/>
      </c>
      <c r="X32">
        <f>HYPERLINK("https://klasma.github.io/Logging_1489/kartor/A 29313-2024 karta.png", "A 29313-2024")</f>
        <v/>
      </c>
      <c r="Y32">
        <f>HYPERLINK("https://klasma.github.io/Logging_1489/kartor_geotiff/A 29313-2024 georefererad karta.tif", "A 29313-2024")</f>
        <v/>
      </c>
      <c r="AA32">
        <f>HYPERLINK("https://klasma.github.io/Logging_1489/klagomål/A 29313-2024 FSC-klagomål.docx", "A 29313-2024")</f>
        <v/>
      </c>
      <c r="AB32">
        <f>HYPERLINK("https://klasma.github.io/Logging_1489/klagomålsmail/A 29313-2024 FSC-klagomål mail.docx", "A 29313-2024")</f>
        <v/>
      </c>
      <c r="AC32">
        <f>HYPERLINK("https://klasma.github.io/Logging_1489/tillsyn/A 29313-2024 tillsynsbegäran.docx", "A 29313-2024")</f>
        <v/>
      </c>
      <c r="AD32">
        <f>HYPERLINK("https://klasma.github.io/Logging_1489/tillsynsmail/A 29313-2024 tillsynsbegäran mail.docx", "A 29313-2024")</f>
        <v/>
      </c>
    </row>
    <row r="33" ht="15" customHeight="1">
      <c r="A33" t="inlineStr">
        <is>
          <t>A 15986-2026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46108</v>
      </c>
      <c r="E33" s="1" t="n">
        <v>46317</v>
      </c>
      <c r="F33" t="inlineStr">
        <is>
          <t>VÄSTRA GÖTALANDS LÄN</t>
        </is>
      </c>
      <c r="G33" t="inlineStr">
        <is>
          <t>ALINGSÅS</t>
        </is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Skogshare</t>
        </is>
      </c>
      <c r="W33">
        <f>HYPERLINK("https://klasma.github.io/Logging_1489/artfynd/A 15986-2026 artfynd.xlsx", "A 15986-2026")</f>
        <v/>
      </c>
      <c r="X33">
        <f>HYPERLINK("https://klasma.github.io/Logging_1489/kartor/A 15986-2026 karta.png", "A 15986-2026")</f>
        <v/>
      </c>
      <c r="Y33">
        <f>HYPERLINK("https://klasma.github.io/Logging_1489/kartor_geotiff/A 15986-2026 georefererad karta.tif", "A 15986-2026")</f>
        <v/>
      </c>
      <c r="AA33">
        <f>HYPERLINK("https://klasma.github.io/Logging_1489/klagomål/A 15986-2026 FSC-klagomål.docx", "A 15986-2026")</f>
        <v/>
      </c>
      <c r="AB33">
        <f>HYPERLINK("https://klasma.github.io/Logging_1489/klagomålsmail/A 15986-2026 FSC-klagomål mail.docx", "A 15986-2026")</f>
        <v/>
      </c>
      <c r="AC33">
        <f>HYPERLINK("https://klasma.github.io/Logging_1489/tillsyn/A 15986-2026 tillsynsbegäran.docx", "A 15986-2026")</f>
        <v/>
      </c>
      <c r="AD33">
        <f>HYPERLINK("https://klasma.github.io/Logging_1489/tillsynsmail/A 15986-2026 tillsynsbegäran mail.docx", "A 15986-2026")</f>
        <v/>
      </c>
    </row>
    <row r="34" ht="15" customHeight="1">
      <c r="A34" t="inlineStr">
        <is>
          <t>A 37537-2024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45541</v>
      </c>
      <c r="E34" s="1" t="n">
        <v>46317</v>
      </c>
      <c r="F34" t="inlineStr">
        <is>
          <t>VÄSTRA GÖTALANDS LÄN</t>
        </is>
      </c>
      <c r="G34" t="inlineStr">
        <is>
          <t>ALINGSÅS</t>
        </is>
      </c>
      <c r="I34" t="n">
        <v>3.5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Strandlummer</t>
        </is>
      </c>
      <c r="W34">
        <f>HYPERLINK("https://klasma.github.io/Logging_1489/artfynd/A 37537-2024 artfynd.xlsx", "A 37537-2024")</f>
        <v/>
      </c>
      <c r="X34">
        <f>HYPERLINK("https://klasma.github.io/Logging_1489/kartor/A 37537-2024 karta.png", "A 37537-2024")</f>
        <v/>
      </c>
      <c r="Y34">
        <f>HYPERLINK("https://klasma.github.io/Logging_1489/kartor_geotiff/A 37537-2024 georefererad karta.tif", "A 37537-2024")</f>
        <v/>
      </c>
      <c r="AA34">
        <f>HYPERLINK("https://klasma.github.io/Logging_1489/klagomål/A 37537-2024 FSC-klagomål.docx", "A 37537-2024")</f>
        <v/>
      </c>
      <c r="AB34">
        <f>HYPERLINK("https://klasma.github.io/Logging_1489/klagomålsmail/A 37537-2024 FSC-klagomål mail.docx", "A 37537-2024")</f>
        <v/>
      </c>
      <c r="AC34">
        <f>HYPERLINK("https://klasma.github.io/Logging_1489/tillsyn/A 37537-2024 tillsynsbegäran.docx", "A 37537-2024")</f>
        <v/>
      </c>
      <c r="AD34">
        <f>HYPERLINK("https://klasma.github.io/Logging_1489/tillsynsmail/A 37537-2024 tillsynsbegäran mail.docx", "A 37537-2024")</f>
        <v/>
      </c>
    </row>
    <row r="35" ht="15" customHeight="1">
      <c r="A35" t="inlineStr">
        <is>
          <t>A 5383-2024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45330</v>
      </c>
      <c r="E35" s="1" t="n">
        <v>46317</v>
      </c>
      <c r="F35" t="inlineStr">
        <is>
          <t>VÄSTRA GÖTALANDS LÄN</t>
        </is>
      </c>
      <c r="G35" t="inlineStr">
        <is>
          <t>ALINGSÅS</t>
        </is>
      </c>
      <c r="H35" t="inlineStr">
        <is>
          <t>Övriga Aktiebolag</t>
        </is>
      </c>
      <c r="I35" t="n">
        <v>4.2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6</v>
      </c>
      <c r="U35" t="n">
        <v>0</v>
      </c>
      <c r="V35" s="2" t="inlineStr">
        <is>
          <t>Ask</t>
        </is>
      </c>
      <c r="W35">
        <f>HYPERLINK("https://klasma.github.io/Logging_1489/artfynd/A 5383-2024 artfynd.xlsx", "A 5383-2024")</f>
        <v/>
      </c>
      <c r="X35">
        <f>HYPERLINK("https://klasma.github.io/Logging_1489/kartor/A 5383-2024 karta.png", "A 5383-2024")</f>
        <v/>
      </c>
      <c r="Y35">
        <f>HYPERLINK("https://klasma.github.io/Logging_1489/kartor_geotiff/A 5383-2024 georefererad karta.tif", "A 5383-2024")</f>
        <v/>
      </c>
      <c r="AA35">
        <f>HYPERLINK("https://klasma.github.io/Logging_1489/klagomål/A 5383-2024 FSC-klagomål.docx", "A 5383-2024")</f>
        <v/>
      </c>
      <c r="AB35">
        <f>HYPERLINK("https://klasma.github.io/Logging_1489/klagomålsmail/A 5383-2024 FSC-klagomål mail.docx", "A 5383-2024")</f>
        <v/>
      </c>
      <c r="AC35">
        <f>HYPERLINK("https://klasma.github.io/Logging_1489/tillsyn/A 5383-2024 tillsynsbegäran.docx", "A 5383-2024")</f>
        <v/>
      </c>
      <c r="AD35">
        <f>HYPERLINK("https://klasma.github.io/Logging_1489/tillsynsmail/A 5383-2024 tillsynsbegäran mail.docx", "A 5383-2024")</f>
        <v/>
      </c>
    </row>
    <row r="36" ht="15" customHeight="1">
      <c r="A36" t="inlineStr">
        <is>
          <t>A 59881-2024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45640</v>
      </c>
      <c r="E36" s="1" t="n">
        <v>46317</v>
      </c>
      <c r="F36" t="inlineStr">
        <is>
          <t>VÄSTRA GÖTALANDS LÄN</t>
        </is>
      </c>
      <c r="G36" t="inlineStr">
        <is>
          <t>ALINGSÅS</t>
        </is>
      </c>
      <c r="I36" t="n">
        <v>3.2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Hasselmus</t>
        </is>
      </c>
      <c r="W36">
        <f>HYPERLINK("https://klasma.github.io/Logging_1489/artfynd/A 59881-2024 artfynd.xlsx", "A 59881-2024")</f>
        <v/>
      </c>
      <c r="X36">
        <f>HYPERLINK("https://klasma.github.io/Logging_1489/kartor/A 59881-2024 karta.png", "A 59881-2024")</f>
        <v/>
      </c>
      <c r="Y36">
        <f>HYPERLINK("https://klasma.github.io/Logging_1489/kartor_geotiff/A 59881-2024 georefererad karta.tif", "A 59881-2024")</f>
        <v/>
      </c>
      <c r="AA36">
        <f>HYPERLINK("https://klasma.github.io/Logging_1489/klagomål/A 59881-2024 FSC-klagomål.docx", "A 59881-2024")</f>
        <v/>
      </c>
      <c r="AB36">
        <f>HYPERLINK("https://klasma.github.io/Logging_1489/klagomålsmail/A 59881-2024 FSC-klagomål mail.docx", "A 59881-2024")</f>
        <v/>
      </c>
      <c r="AC36">
        <f>HYPERLINK("https://klasma.github.io/Logging_1489/tillsyn/A 59881-2024 tillsynsbegäran.docx", "A 59881-2024")</f>
        <v/>
      </c>
      <c r="AD36">
        <f>HYPERLINK("https://klasma.github.io/Logging_1489/tillsynsmail/A 59881-2024 tillsynsbegäran mail.docx", "A 59881-2024")</f>
        <v/>
      </c>
    </row>
    <row r="37" ht="15" customHeight="1">
      <c r="A37" t="inlineStr">
        <is>
          <t>A 33222-2026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46246</v>
      </c>
      <c r="E37" s="1" t="n">
        <v>46317</v>
      </c>
      <c r="F37" t="inlineStr">
        <is>
          <t>VÄSTRA GÖTALANDS LÄN</t>
        </is>
      </c>
      <c r="G37" t="inlineStr">
        <is>
          <t>ALINGSÅS</t>
        </is>
      </c>
      <c r="I37" t="n">
        <v>1.4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Kornknutmossa</t>
        </is>
      </c>
      <c r="W37">
        <f>HYPERLINK("https://klasma.github.io/Logging_1489/artfynd/A 33222-2026 artfynd.xlsx", "A 33222-2026")</f>
        <v/>
      </c>
      <c r="X37">
        <f>HYPERLINK("https://klasma.github.io/Logging_1489/kartor/A 33222-2026 karta.png", "A 33222-2026")</f>
        <v/>
      </c>
      <c r="Y37">
        <f>HYPERLINK("https://klasma.github.io/Logging_1489/kartor_geotiff/A 33222-2026 georefererad karta.tif", "A 33222-2026")</f>
        <v/>
      </c>
      <c r="AA37">
        <f>HYPERLINK("https://klasma.github.io/Logging_1489/klagomål/A 33222-2026 FSC-klagomål.docx", "A 33222-2026")</f>
        <v/>
      </c>
      <c r="AB37">
        <f>HYPERLINK("https://klasma.github.io/Logging_1489/klagomålsmail/A 33222-2026 FSC-klagomål mail.docx", "A 33222-2026")</f>
        <v/>
      </c>
      <c r="AC37">
        <f>HYPERLINK("https://klasma.github.io/Logging_1489/tillsyn/A 33222-2026 tillsynsbegäran.docx", "A 33222-2026")</f>
        <v/>
      </c>
      <c r="AD37">
        <f>HYPERLINK("https://klasma.github.io/Logging_1489/tillsynsmail/A 33222-2026 tillsynsbegäran mail.docx", "A 33222-2026")</f>
        <v/>
      </c>
    </row>
    <row r="38" ht="15" customHeight="1">
      <c r="A38" t="inlineStr">
        <is>
          <t>A 68899-2021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44530</v>
      </c>
      <c r="E38" s="1" t="n">
        <v>46317</v>
      </c>
      <c r="F38" t="inlineStr">
        <is>
          <t>VÄSTRA GÖTALANDS LÄN</t>
        </is>
      </c>
      <c r="G38" t="inlineStr">
        <is>
          <t>ALINGSÅS</t>
        </is>
      </c>
      <c r="I38" t="n">
        <v>2.9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10999-2022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44628</v>
      </c>
      <c r="E39" s="1" t="n">
        <v>46317</v>
      </c>
      <c r="F39" t="inlineStr">
        <is>
          <t>VÄSTRA GÖTALANDS LÄN</t>
        </is>
      </c>
      <c r="G39" t="inlineStr">
        <is>
          <t>ALINGSÅS</t>
        </is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8777-2022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44614</v>
      </c>
      <c r="E40" s="1" t="n">
        <v>46317</v>
      </c>
      <c r="F40" t="inlineStr">
        <is>
          <t>VÄSTRA GÖTALANDS LÄN</t>
        </is>
      </c>
      <c r="G40" t="inlineStr">
        <is>
          <t>ALINGSÅS</t>
        </is>
      </c>
      <c r="I40" t="n">
        <v>4.8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42620-2022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44831</v>
      </c>
      <c r="E41" s="1" t="n">
        <v>46317</v>
      </c>
      <c r="F41" t="inlineStr">
        <is>
          <t>VÄSTRA GÖTALANDS LÄN</t>
        </is>
      </c>
      <c r="G41" t="inlineStr">
        <is>
          <t>ALINGSÅS</t>
        </is>
      </c>
      <c r="I41" t="n">
        <v>1.5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29559-2022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44754</v>
      </c>
      <c r="E42" s="1" t="n">
        <v>46317</v>
      </c>
      <c r="F42" t="inlineStr">
        <is>
          <t>VÄSTRA GÖTALANDS LÄN</t>
        </is>
      </c>
      <c r="G42" t="inlineStr">
        <is>
          <t>ALINGSÅS</t>
        </is>
      </c>
      <c r="I42" t="n">
        <v>1.5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12313-2022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44637</v>
      </c>
      <c r="E43" s="1" t="n">
        <v>46317</v>
      </c>
      <c r="F43" t="inlineStr">
        <is>
          <t>VÄSTRA GÖTALANDS LÄN</t>
        </is>
      </c>
      <c r="G43" t="inlineStr">
        <is>
          <t>ALINGSÅS</t>
        </is>
      </c>
      <c r="I43" t="n">
        <v>0.8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21732-2022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44708</v>
      </c>
      <c r="E44" s="1" t="n">
        <v>46317</v>
      </c>
      <c r="F44" t="inlineStr">
        <is>
          <t>VÄSTRA GÖTALANDS LÄN</t>
        </is>
      </c>
      <c r="G44" t="inlineStr">
        <is>
          <t>ALINGSÅS</t>
        </is>
      </c>
      <c r="I44" t="n">
        <v>7.7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39299-2022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44817</v>
      </c>
      <c r="E45" s="1" t="n">
        <v>46317</v>
      </c>
      <c r="F45" t="inlineStr">
        <is>
          <t>VÄSTRA GÖTALANDS LÄN</t>
        </is>
      </c>
      <c r="G45" t="inlineStr">
        <is>
          <t>ALINGSÅS</t>
        </is>
      </c>
      <c r="I45" t="n">
        <v>5.6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65624-2021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44516</v>
      </c>
      <c r="E46" s="1" t="n">
        <v>46317</v>
      </c>
      <c r="F46" t="inlineStr">
        <is>
          <t>VÄSTRA GÖTALANDS LÄN</t>
        </is>
      </c>
      <c r="G46" t="inlineStr">
        <is>
          <t>ALINGSÅS</t>
        </is>
      </c>
      <c r="I46" t="n">
        <v>1.8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31303-2022</t>
        </is>
      </c>
      <c r="B47" t="inlineStr">
        <is>
          <t>avverkningsanmälan</t>
        </is>
      </c>
      <c r="C47" t="inlineStr">
        <is>
          <t>Avverkning för annat ändamål</t>
        </is>
      </c>
      <c r="D47" s="1" t="n">
        <v>44773</v>
      </c>
      <c r="E47" s="1" t="n">
        <v>46317</v>
      </c>
      <c r="F47" t="inlineStr">
        <is>
          <t>VÄSTRA GÖTALANDS LÄN</t>
        </is>
      </c>
      <c r="G47" t="inlineStr">
        <is>
          <t>ALINGSÅS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47234-2022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44852</v>
      </c>
      <c r="E48" s="1" t="n">
        <v>46317</v>
      </c>
      <c r="F48" t="inlineStr">
        <is>
          <t>VÄSTRA GÖTALANDS LÄN</t>
        </is>
      </c>
      <c r="G48" t="inlineStr">
        <is>
          <t>ALINGSÅS</t>
        </is>
      </c>
      <c r="I48" t="n">
        <v>0.8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37512-2022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44809</v>
      </c>
      <c r="E49" s="1" t="n">
        <v>46317</v>
      </c>
      <c r="F49" t="inlineStr">
        <is>
          <t>VÄSTRA GÖTALANDS LÄN</t>
        </is>
      </c>
      <c r="G49" t="inlineStr">
        <is>
          <t>ALINGSÅS</t>
        </is>
      </c>
      <c r="I49" t="n">
        <v>0.7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1105-2022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44572</v>
      </c>
      <c r="E50" s="1" t="n">
        <v>46317</v>
      </c>
      <c r="F50" t="inlineStr">
        <is>
          <t>VÄSTRA GÖTALANDS LÄN</t>
        </is>
      </c>
      <c r="G50" t="inlineStr">
        <is>
          <t>ALINGSÅS</t>
        </is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14359-2022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44652</v>
      </c>
      <c r="E51" s="1" t="n">
        <v>46317</v>
      </c>
      <c r="F51" t="inlineStr">
        <is>
          <t>VÄSTRA GÖTALANDS LÄN</t>
        </is>
      </c>
      <c r="G51" t="inlineStr">
        <is>
          <t>ALINGSÅS</t>
        </is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64211-2021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44510</v>
      </c>
      <c r="E52" s="1" t="n">
        <v>46317</v>
      </c>
      <c r="F52" t="inlineStr">
        <is>
          <t>VÄSTRA GÖTALANDS LÄN</t>
        </is>
      </c>
      <c r="G52" t="inlineStr">
        <is>
          <t>ALINGSÅS</t>
        </is>
      </c>
      <c r="I52" t="n">
        <v>1.4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65210-2021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44515</v>
      </c>
      <c r="E53" s="1" t="n">
        <v>46317</v>
      </c>
      <c r="F53" t="inlineStr">
        <is>
          <t>VÄSTRA GÖTALANDS LÄN</t>
        </is>
      </c>
      <c r="G53" t="inlineStr">
        <is>
          <t>ALINGSÅS</t>
        </is>
      </c>
      <c r="I53" t="n">
        <v>1.4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70426-2021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44536</v>
      </c>
      <c r="E54" s="1" t="n">
        <v>46317</v>
      </c>
      <c r="F54" t="inlineStr">
        <is>
          <t>VÄSTRA GÖTALANDS LÄN</t>
        </is>
      </c>
      <c r="G54" t="inlineStr">
        <is>
          <t>ALINGSÅS</t>
        </is>
      </c>
      <c r="I54" t="n">
        <v>3.5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60657-2021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44496</v>
      </c>
      <c r="E55" s="1" t="n">
        <v>46317</v>
      </c>
      <c r="F55" t="inlineStr">
        <is>
          <t>VÄSTRA GÖTALANDS LÄN</t>
        </is>
      </c>
      <c r="G55" t="inlineStr">
        <is>
          <t>ALINGSÅS</t>
        </is>
      </c>
      <c r="I55" t="n">
        <v>1.5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73187-2021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44550</v>
      </c>
      <c r="E56" s="1" t="n">
        <v>46317</v>
      </c>
      <c r="F56" t="inlineStr">
        <is>
          <t>VÄSTRA GÖTALANDS LÄN</t>
        </is>
      </c>
      <c r="G56" t="inlineStr">
        <is>
          <t>ALINGSÅS</t>
        </is>
      </c>
      <c r="I56" t="n">
        <v>4.8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981-2022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44568</v>
      </c>
      <c r="E57" s="1" t="n">
        <v>46317</v>
      </c>
      <c r="F57" t="inlineStr">
        <is>
          <t>VÄSTRA GÖTALANDS LÄN</t>
        </is>
      </c>
      <c r="G57" t="inlineStr">
        <is>
          <t>ALINGSÅS</t>
        </is>
      </c>
      <c r="I57" t="n">
        <v>1.7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37509-2022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44809</v>
      </c>
      <c r="E58" s="1" t="n">
        <v>46317</v>
      </c>
      <c r="F58" t="inlineStr">
        <is>
          <t>VÄSTRA GÖTALANDS LÄN</t>
        </is>
      </c>
      <c r="G58" t="inlineStr">
        <is>
          <t>ALINGSÅS</t>
        </is>
      </c>
      <c r="I58" t="n">
        <v>1.5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3045-2022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44582</v>
      </c>
      <c r="E59" s="1" t="n">
        <v>46317</v>
      </c>
      <c r="F59" t="inlineStr">
        <is>
          <t>VÄSTRA GÖTALANDS LÄN</t>
        </is>
      </c>
      <c r="G59" t="inlineStr">
        <is>
          <t>ALINGSÅS</t>
        </is>
      </c>
      <c r="I59" t="n">
        <v>0.5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23129-2022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44719</v>
      </c>
      <c r="E60" s="1" t="n">
        <v>46317</v>
      </c>
      <c r="F60" t="inlineStr">
        <is>
          <t>VÄSTRA GÖTALANDS LÄN</t>
        </is>
      </c>
      <c r="G60" t="inlineStr">
        <is>
          <t>ALINGSÅS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34684-2022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44795</v>
      </c>
      <c r="E61" s="1" t="n">
        <v>46317</v>
      </c>
      <c r="F61" t="inlineStr">
        <is>
          <t>VÄSTRA GÖTALANDS LÄN</t>
        </is>
      </c>
      <c r="G61" t="inlineStr">
        <is>
          <t>ALINGSÅS</t>
        </is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12884-2022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44642</v>
      </c>
      <c r="E62" s="1" t="n">
        <v>46317</v>
      </c>
      <c r="F62" t="inlineStr">
        <is>
          <t>VÄSTRA GÖTALANDS LÄN</t>
        </is>
      </c>
      <c r="G62" t="inlineStr">
        <is>
          <t>ALINGSÅS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24464-2022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44726</v>
      </c>
      <c r="E63" s="1" t="n">
        <v>46317</v>
      </c>
      <c r="F63" t="inlineStr">
        <is>
          <t>VÄSTRA GÖTALANDS LÄN</t>
        </is>
      </c>
      <c r="G63" t="inlineStr">
        <is>
          <t>ALINGSÅS</t>
        </is>
      </c>
      <c r="I63" t="n">
        <v>8.800000000000001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4661-2025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45687</v>
      </c>
      <c r="E64" s="1" t="n">
        <v>46317</v>
      </c>
      <c r="F64" t="inlineStr">
        <is>
          <t>VÄSTRA GÖTALANDS LÄN</t>
        </is>
      </c>
      <c r="G64" t="inlineStr">
        <is>
          <t>ALINGSÅS</t>
        </is>
      </c>
      <c r="I64" t="n">
        <v>2.8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12322-2024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45378</v>
      </c>
      <c r="E65" s="1" t="n">
        <v>46317</v>
      </c>
      <c r="F65" t="inlineStr">
        <is>
          <t>VÄSTRA GÖTALANDS LÄN</t>
        </is>
      </c>
      <c r="G65" t="inlineStr">
        <is>
          <t>ALINGSÅS</t>
        </is>
      </c>
      <c r="I65" t="n">
        <v>2.5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16117-2024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45406</v>
      </c>
      <c r="E66" s="1" t="n">
        <v>46317</v>
      </c>
      <c r="F66" t="inlineStr">
        <is>
          <t>VÄSTRA GÖTALANDS LÄN</t>
        </is>
      </c>
      <c r="G66" t="inlineStr">
        <is>
          <t>ALINGSÅS</t>
        </is>
      </c>
      <c r="I66" t="n">
        <v>2.9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51178-2023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45219</v>
      </c>
      <c r="E67" s="1" t="n">
        <v>46317</v>
      </c>
      <c r="F67" t="inlineStr">
        <is>
          <t>VÄSTRA GÖTALANDS LÄN</t>
        </is>
      </c>
      <c r="G67" t="inlineStr">
        <is>
          <t>ALINGSÅS</t>
        </is>
      </c>
      <c r="I67" t="n">
        <v>2.7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15006-2024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45399</v>
      </c>
      <c r="E68" s="1" t="n">
        <v>46317</v>
      </c>
      <c r="F68" t="inlineStr">
        <is>
          <t>VÄSTRA GÖTALANDS LÄN</t>
        </is>
      </c>
      <c r="G68" t="inlineStr">
        <is>
          <t>ALINGSÅS</t>
        </is>
      </c>
      <c r="I68" t="n">
        <v>3.4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47960-2022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44855</v>
      </c>
      <c r="E69" s="1" t="n">
        <v>46317</v>
      </c>
      <c r="F69" t="inlineStr">
        <is>
          <t>VÄSTRA GÖTALANDS LÄN</t>
        </is>
      </c>
      <c r="G69" t="inlineStr">
        <is>
          <t>ALINGSÅS</t>
        </is>
      </c>
      <c r="I69" t="n">
        <v>2.3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12600-2024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45380</v>
      </c>
      <c r="E70" s="1" t="n">
        <v>46317</v>
      </c>
      <c r="F70" t="inlineStr">
        <is>
          <t>VÄSTRA GÖTALANDS LÄN</t>
        </is>
      </c>
      <c r="G70" t="inlineStr">
        <is>
          <t>ALINGSÅS</t>
        </is>
      </c>
      <c r="I70" t="n">
        <v>2.3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42865-2022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44832</v>
      </c>
      <c r="E71" s="1" t="n">
        <v>46317</v>
      </c>
      <c r="F71" t="inlineStr">
        <is>
          <t>VÄSTRA GÖTALANDS LÄN</t>
        </is>
      </c>
      <c r="G71" t="inlineStr">
        <is>
          <t>ALINGSÅS</t>
        </is>
      </c>
      <c r="I71" t="n">
        <v>0.8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59925-2023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45257</v>
      </c>
      <c r="E72" s="1" t="n">
        <v>46317</v>
      </c>
      <c r="F72" t="inlineStr">
        <is>
          <t>VÄSTRA GÖTALANDS LÄN</t>
        </is>
      </c>
      <c r="G72" t="inlineStr">
        <is>
          <t>ALINGSÅS</t>
        </is>
      </c>
      <c r="I72" t="n">
        <v>3.3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62818-2025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46008</v>
      </c>
      <c r="E73" s="1" t="n">
        <v>46317</v>
      </c>
      <c r="F73" t="inlineStr">
        <is>
          <t>VÄSTRA GÖTALANDS LÄN</t>
        </is>
      </c>
      <c r="G73" t="inlineStr">
        <is>
          <t>ALINGSÅS</t>
        </is>
      </c>
      <c r="I73" t="n">
        <v>5.4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6120-2023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44964</v>
      </c>
      <c r="E74" s="1" t="n">
        <v>46317</v>
      </c>
      <c r="F74" t="inlineStr">
        <is>
          <t>VÄSTRA GÖTALANDS LÄN</t>
        </is>
      </c>
      <c r="G74" t="inlineStr">
        <is>
          <t>ALINGSÅS</t>
        </is>
      </c>
      <c r="I74" t="n">
        <v>0.8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23533-2025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45792</v>
      </c>
      <c r="E75" s="1" t="n">
        <v>46317</v>
      </c>
      <c r="F75" t="inlineStr">
        <is>
          <t>VÄSTRA GÖTALANDS LÄN</t>
        </is>
      </c>
      <c r="G75" t="inlineStr">
        <is>
          <t>ALINGSÅS</t>
        </is>
      </c>
      <c r="I75" t="n">
        <v>0.5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3748-2025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45681</v>
      </c>
      <c r="E76" s="1" t="n">
        <v>46317</v>
      </c>
      <c r="F76" t="inlineStr">
        <is>
          <t>VÄSTRA GÖTALANDS LÄN</t>
        </is>
      </c>
      <c r="G76" t="inlineStr">
        <is>
          <t>ALINGSÅS</t>
        </is>
      </c>
      <c r="I76" t="n">
        <v>4.2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58990-2022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44903</v>
      </c>
      <c r="E77" s="1" t="n">
        <v>46317</v>
      </c>
      <c r="F77" t="inlineStr">
        <is>
          <t>VÄSTRA GÖTALANDS LÄN</t>
        </is>
      </c>
      <c r="G77" t="inlineStr">
        <is>
          <t>ALINGSÅS</t>
        </is>
      </c>
      <c r="H77" t="inlineStr">
        <is>
          <t>Kyrkan</t>
        </is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26164-2024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45468</v>
      </c>
      <c r="E78" s="1" t="n">
        <v>46317</v>
      </c>
      <c r="F78" t="inlineStr">
        <is>
          <t>VÄSTRA GÖTALANDS LÄN</t>
        </is>
      </c>
      <c r="G78" t="inlineStr">
        <is>
          <t>ALINGSÅS</t>
        </is>
      </c>
      <c r="I78" t="n">
        <v>1.7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57489-2022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44896</v>
      </c>
      <c r="E79" s="1" t="n">
        <v>46317</v>
      </c>
      <c r="F79" t="inlineStr">
        <is>
          <t>VÄSTRA GÖTALANDS LÄN</t>
        </is>
      </c>
      <c r="G79" t="inlineStr">
        <is>
          <t>ALINGSÅS</t>
        </is>
      </c>
      <c r="I79" t="n">
        <v>10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6341-2025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45699</v>
      </c>
      <c r="E80" s="1" t="n">
        <v>46317</v>
      </c>
      <c r="F80" t="inlineStr">
        <is>
          <t>VÄSTRA GÖTALANDS LÄN</t>
        </is>
      </c>
      <c r="G80" t="inlineStr">
        <is>
          <t>ALINGSÅS</t>
        </is>
      </c>
      <c r="I80" t="n">
        <v>1.7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63717-2025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46014</v>
      </c>
      <c r="E81" s="1" t="n">
        <v>46317</v>
      </c>
      <c r="F81" t="inlineStr">
        <is>
          <t>VÄSTRA GÖTALANDS LÄN</t>
        </is>
      </c>
      <c r="G81" t="inlineStr">
        <is>
          <t>ALINGSÅS</t>
        </is>
      </c>
      <c r="I81" t="n">
        <v>3.3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25749-2024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45465</v>
      </c>
      <c r="E82" s="1" t="n">
        <v>46317</v>
      </c>
      <c r="F82" t="inlineStr">
        <is>
          <t>VÄSTRA GÖTALANDS LÄN</t>
        </is>
      </c>
      <c r="G82" t="inlineStr">
        <is>
          <t>ALINGSÅS</t>
        </is>
      </c>
      <c r="I82" t="n">
        <v>2.6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8210-2025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45708</v>
      </c>
      <c r="E83" s="1" t="n">
        <v>46317</v>
      </c>
      <c r="F83" t="inlineStr">
        <is>
          <t>VÄSTRA GÖTALANDS LÄN</t>
        </is>
      </c>
      <c r="G83" t="inlineStr">
        <is>
          <t>ALINGSÅS</t>
        </is>
      </c>
      <c r="I83" t="n">
        <v>3.1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8234-2025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45708</v>
      </c>
      <c r="E84" s="1" t="n">
        <v>46317</v>
      </c>
      <c r="F84" t="inlineStr">
        <is>
          <t>VÄSTRA GÖTALANDS LÄN</t>
        </is>
      </c>
      <c r="G84" t="inlineStr">
        <is>
          <t>ALINGSÅS</t>
        </is>
      </c>
      <c r="I84" t="n">
        <v>1.6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62678-2023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45271</v>
      </c>
      <c r="E85" s="1" t="n">
        <v>46317</v>
      </c>
      <c r="F85" t="inlineStr">
        <is>
          <t>VÄSTRA GÖTALANDS LÄN</t>
        </is>
      </c>
      <c r="G85" t="inlineStr">
        <is>
          <t>ALINGSÅS</t>
        </is>
      </c>
      <c r="I85" t="n">
        <v>2.5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63716-2025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46014</v>
      </c>
      <c r="E86" s="1" t="n">
        <v>46317</v>
      </c>
      <c r="F86" t="inlineStr">
        <is>
          <t>VÄSTRA GÖTALANDS LÄN</t>
        </is>
      </c>
      <c r="G86" t="inlineStr">
        <is>
          <t>ALINGSÅS</t>
        </is>
      </c>
      <c r="I86" t="n">
        <v>7.5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25744-2024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45465</v>
      </c>
      <c r="E87" s="1" t="n">
        <v>46317</v>
      </c>
      <c r="F87" t="inlineStr">
        <is>
          <t>VÄSTRA GÖTALANDS LÄN</t>
        </is>
      </c>
      <c r="G87" t="inlineStr">
        <is>
          <t>ALINGSÅS</t>
        </is>
      </c>
      <c r="I87" t="n">
        <v>6.1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25748-2024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45465</v>
      </c>
      <c r="E88" s="1" t="n">
        <v>46317</v>
      </c>
      <c r="F88" t="inlineStr">
        <is>
          <t>VÄSTRA GÖTALANDS LÄN</t>
        </is>
      </c>
      <c r="G88" t="inlineStr">
        <is>
          <t>ALINGSÅS</t>
        </is>
      </c>
      <c r="I88" t="n">
        <v>1.8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25743-2024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45465</v>
      </c>
      <c r="E89" s="1" t="n">
        <v>46317</v>
      </c>
      <c r="F89" t="inlineStr">
        <is>
          <t>VÄSTRA GÖTALANDS LÄN</t>
        </is>
      </c>
      <c r="G89" t="inlineStr">
        <is>
          <t>ALINGSÅS</t>
        </is>
      </c>
      <c r="I89" t="n">
        <v>0.5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21328-2025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45782</v>
      </c>
      <c r="E90" s="1" t="n">
        <v>46317</v>
      </c>
      <c r="F90" t="inlineStr">
        <is>
          <t>VÄSTRA GÖTALANDS LÄN</t>
        </is>
      </c>
      <c r="G90" t="inlineStr">
        <is>
          <t>ALINGSÅS</t>
        </is>
      </c>
      <c r="I90" t="n">
        <v>2.2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60026-2023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45258</v>
      </c>
      <c r="E91" s="1" t="n">
        <v>46317</v>
      </c>
      <c r="F91" t="inlineStr">
        <is>
          <t>VÄSTRA GÖTALANDS LÄN</t>
        </is>
      </c>
      <c r="G91" t="inlineStr">
        <is>
          <t>ALINGSÅS</t>
        </is>
      </c>
      <c r="I91" t="n">
        <v>1.2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32026-2024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45510</v>
      </c>
      <c r="E92" s="1" t="n">
        <v>46317</v>
      </c>
      <c r="F92" t="inlineStr">
        <is>
          <t>VÄSTRA GÖTALANDS LÄN</t>
        </is>
      </c>
      <c r="G92" t="inlineStr">
        <is>
          <t>ALINGSÅS</t>
        </is>
      </c>
      <c r="I92" t="n">
        <v>1.2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4806-2023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44957</v>
      </c>
      <c r="E93" s="1" t="n">
        <v>46317</v>
      </c>
      <c r="F93" t="inlineStr">
        <is>
          <t>VÄSTRA GÖTALANDS LÄN</t>
        </is>
      </c>
      <c r="G93" t="inlineStr">
        <is>
          <t>ALINGSÅS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56752-2023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45244</v>
      </c>
      <c r="E94" s="1" t="n">
        <v>46317</v>
      </c>
      <c r="F94" t="inlineStr">
        <is>
          <t>VÄSTRA GÖTALANDS LÄN</t>
        </is>
      </c>
      <c r="G94" t="inlineStr">
        <is>
          <t>ALINGSÅS</t>
        </is>
      </c>
      <c r="I94" t="n">
        <v>1.4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40242-2025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45894</v>
      </c>
      <c r="E95" s="1" t="n">
        <v>46317</v>
      </c>
      <c r="F95" t="inlineStr">
        <is>
          <t>VÄSTRA GÖTALANDS LÄN</t>
        </is>
      </c>
      <c r="G95" t="inlineStr">
        <is>
          <t>ALINGSÅS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25897-2025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45804</v>
      </c>
      <c r="E96" s="1" t="n">
        <v>46317</v>
      </c>
      <c r="F96" t="inlineStr">
        <is>
          <t>VÄSTRA GÖTALANDS LÄN</t>
        </is>
      </c>
      <c r="G96" t="inlineStr">
        <is>
          <t>ALINGSÅS</t>
        </is>
      </c>
      <c r="I96" t="n">
        <v>0.6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25562-2025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45803</v>
      </c>
      <c r="E97" s="1" t="n">
        <v>46317</v>
      </c>
      <c r="F97" t="inlineStr">
        <is>
          <t>VÄSTRA GÖTALANDS LÄN</t>
        </is>
      </c>
      <c r="G97" t="inlineStr">
        <is>
          <t>ALINGSÅS</t>
        </is>
      </c>
      <c r="I97" t="n">
        <v>2.4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25896-2025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45804</v>
      </c>
      <c r="E98" s="1" t="n">
        <v>46317</v>
      </c>
      <c r="F98" t="inlineStr">
        <is>
          <t>VÄSTRA GÖTALANDS LÄN</t>
        </is>
      </c>
      <c r="G98" t="inlineStr">
        <is>
          <t>ALINGSÅS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40073-2025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45894</v>
      </c>
      <c r="E99" s="1" t="n">
        <v>46317</v>
      </c>
      <c r="F99" t="inlineStr">
        <is>
          <t>VÄSTRA GÖTALANDS LÄN</t>
        </is>
      </c>
      <c r="G99" t="inlineStr">
        <is>
          <t>ALINGSÅS</t>
        </is>
      </c>
      <c r="I99" t="n">
        <v>1.8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41454-2025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45901</v>
      </c>
      <c r="E100" s="1" t="n">
        <v>46317</v>
      </c>
      <c r="F100" t="inlineStr">
        <is>
          <t>VÄSTRA GÖTALANDS LÄN</t>
        </is>
      </c>
      <c r="G100" t="inlineStr">
        <is>
          <t>ALINGSÅS</t>
        </is>
      </c>
      <c r="I100" t="n">
        <v>1.1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26096-2025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45805</v>
      </c>
      <c r="E101" s="1" t="n">
        <v>46317</v>
      </c>
      <c r="F101" t="inlineStr">
        <is>
          <t>VÄSTRA GÖTALANDS LÄN</t>
        </is>
      </c>
      <c r="G101" t="inlineStr">
        <is>
          <t>ALINGSÅS</t>
        </is>
      </c>
      <c r="I101" t="n">
        <v>2.6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54579-2024</t>
        </is>
      </c>
      <c r="B102" t="inlineStr">
        <is>
          <t>avverkningsanmälan</t>
        </is>
      </c>
      <c r="C102" t="inlineStr">
        <is>
          <t>Avverkning för annat ändamål</t>
        </is>
      </c>
      <c r="D102" s="1" t="n">
        <v>45617</v>
      </c>
      <c r="E102" s="1" t="n">
        <v>46317</v>
      </c>
      <c r="F102" t="inlineStr">
        <is>
          <t>VÄSTRA GÖTALANDS LÄN</t>
        </is>
      </c>
      <c r="G102" t="inlineStr">
        <is>
          <t>ALINGSÅS</t>
        </is>
      </c>
      <c r="I102" t="n">
        <v>1.4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12968-2025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45734</v>
      </c>
      <c r="E103" s="1" t="n">
        <v>46317</v>
      </c>
      <c r="F103" t="inlineStr">
        <is>
          <t>VÄSTRA GÖTALANDS LÄN</t>
        </is>
      </c>
      <c r="G103" t="inlineStr">
        <is>
          <t>ALINGSÅS</t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12276-2024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45378</v>
      </c>
      <c r="E104" s="1" t="n">
        <v>46317</v>
      </c>
      <c r="F104" t="inlineStr">
        <is>
          <t>VÄSTRA GÖTALANDS LÄN</t>
        </is>
      </c>
      <c r="G104" t="inlineStr">
        <is>
          <t>ALINGSÅS</t>
        </is>
      </c>
      <c r="I104" t="n">
        <v>3.1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42672-2025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45908</v>
      </c>
      <c r="E105" s="1" t="n">
        <v>46317</v>
      </c>
      <c r="F105" t="inlineStr">
        <is>
          <t>VÄSTRA GÖTALANDS LÄN</t>
        </is>
      </c>
      <c r="G105" t="inlineStr">
        <is>
          <t>ALINGSÅS</t>
        </is>
      </c>
      <c r="I105" t="n">
        <v>0.6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42711-2025</t>
        </is>
      </c>
      <c r="B106" t="inlineStr">
        <is>
          <t>avverkningsanmälan</t>
        </is>
      </c>
      <c r="C106" t="inlineStr">
        <is>
          <t>Avverkning för att bevara och utveckla /försöksver</t>
        </is>
      </c>
      <c r="D106" s="1" t="n">
        <v>45908</v>
      </c>
      <c r="E106" s="1" t="n">
        <v>46317</v>
      </c>
      <c r="F106" t="inlineStr">
        <is>
          <t>VÄSTRA GÖTALANDS LÄN</t>
        </is>
      </c>
      <c r="G106" t="inlineStr">
        <is>
          <t>ALINGSÅS</t>
        </is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42710-2025</t>
        </is>
      </c>
      <c r="B107" t="inlineStr">
        <is>
          <t>avverkningsanmälan</t>
        </is>
      </c>
      <c r="C107" t="inlineStr">
        <is>
          <t>Avverkning för att bevara och utveckla /försöksver</t>
        </is>
      </c>
      <c r="D107" s="1" t="n">
        <v>45908</v>
      </c>
      <c r="E107" s="1" t="n">
        <v>46317</v>
      </c>
      <c r="F107" t="inlineStr">
        <is>
          <t>VÄSTRA GÖTALANDS LÄN</t>
        </is>
      </c>
      <c r="G107" t="inlineStr">
        <is>
          <t>ALINGSÅS</t>
        </is>
      </c>
      <c r="I107" t="n">
        <v>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43262-2025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45910</v>
      </c>
      <c r="E108" s="1" t="n">
        <v>46317</v>
      </c>
      <c r="F108" t="inlineStr">
        <is>
          <t>VÄSTRA GÖTALANDS LÄN</t>
        </is>
      </c>
      <c r="G108" t="inlineStr">
        <is>
          <t>ALINGSÅS</t>
        </is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27202-2025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45812</v>
      </c>
      <c r="E109" s="1" t="n">
        <v>46317</v>
      </c>
      <c r="F109" t="inlineStr">
        <is>
          <t>VÄSTRA GÖTALANDS LÄN</t>
        </is>
      </c>
      <c r="G109" t="inlineStr">
        <is>
          <t>ALINGSÅS</t>
        </is>
      </c>
      <c r="I109" t="n">
        <v>1.7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36291-2024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45534</v>
      </c>
      <c r="E110" s="1" t="n">
        <v>46317</v>
      </c>
      <c r="F110" t="inlineStr">
        <is>
          <t>VÄSTRA GÖTALANDS LÄN</t>
        </is>
      </c>
      <c r="G110" t="inlineStr">
        <is>
          <t>ALINGSÅS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45322-2024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45576</v>
      </c>
      <c r="E111" s="1" t="n">
        <v>46317</v>
      </c>
      <c r="F111" t="inlineStr">
        <is>
          <t>VÄSTRA GÖTALANDS LÄN</t>
        </is>
      </c>
      <c r="G111" t="inlineStr">
        <is>
          <t>ALINGSÅS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28168-2025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45818</v>
      </c>
      <c r="E112" s="1" t="n">
        <v>46317</v>
      </c>
      <c r="F112" t="inlineStr">
        <is>
          <t>VÄSTRA GÖTALANDS LÄN</t>
        </is>
      </c>
      <c r="G112" t="inlineStr">
        <is>
          <t>ALINGSÅS</t>
        </is>
      </c>
      <c r="I112" t="n">
        <v>3.1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44530-2025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45916</v>
      </c>
      <c r="E113" s="1" t="n">
        <v>46317</v>
      </c>
      <c r="F113" t="inlineStr">
        <is>
          <t>VÄSTRA GÖTALANDS LÄN</t>
        </is>
      </c>
      <c r="G113" t="inlineStr">
        <is>
          <t>ALINGSÅS</t>
        </is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45610-2025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45922</v>
      </c>
      <c r="E114" s="1" t="n">
        <v>46317</v>
      </c>
      <c r="F114" t="inlineStr">
        <is>
          <t>VÄSTRA GÖTALANDS LÄN</t>
        </is>
      </c>
      <c r="G114" t="inlineStr">
        <is>
          <t>ALINGSÅS</t>
        </is>
      </c>
      <c r="I114" t="n">
        <v>2.8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11388-2025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45726</v>
      </c>
      <c r="E115" s="1" t="n">
        <v>46317</v>
      </c>
      <c r="F115" t="inlineStr">
        <is>
          <t>VÄSTRA GÖTALANDS LÄN</t>
        </is>
      </c>
      <c r="G115" t="inlineStr">
        <is>
          <t>ALINGSÅS</t>
        </is>
      </c>
      <c r="I115" t="n">
        <v>1.3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4846-2024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45329</v>
      </c>
      <c r="E116" s="1" t="n">
        <v>46317</v>
      </c>
      <c r="F116" t="inlineStr">
        <is>
          <t>VÄSTRA GÖTALANDS LÄN</t>
        </is>
      </c>
      <c r="G116" t="inlineStr">
        <is>
          <t>ALINGSÅS</t>
        </is>
      </c>
      <c r="I116" t="n">
        <v>0.6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10541-2025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45721</v>
      </c>
      <c r="E117" s="1" t="n">
        <v>46317</v>
      </c>
      <c r="F117" t="inlineStr">
        <is>
          <t>VÄSTRA GÖTALANDS LÄN</t>
        </is>
      </c>
      <c r="G117" t="inlineStr">
        <is>
          <t>ALINGSÅS</t>
        </is>
      </c>
      <c r="H117" t="inlineStr">
        <is>
          <t>Kyrkan</t>
        </is>
      </c>
      <c r="I117" t="n">
        <v>2.5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9851-2025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45716</v>
      </c>
      <c r="E118" s="1" t="n">
        <v>46317</v>
      </c>
      <c r="F118" t="inlineStr">
        <is>
          <t>VÄSTRA GÖTALANDS LÄN</t>
        </is>
      </c>
      <c r="G118" t="inlineStr">
        <is>
          <t>ALINGSÅS</t>
        </is>
      </c>
      <c r="I118" t="n">
        <v>6.6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11462-2025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45726</v>
      </c>
      <c r="E119" s="1" t="n">
        <v>46317</v>
      </c>
      <c r="F119" t="inlineStr">
        <is>
          <t>VÄSTRA GÖTALANDS LÄN</t>
        </is>
      </c>
      <c r="G119" t="inlineStr">
        <is>
          <t>ALINGSÅS</t>
        </is>
      </c>
      <c r="I119" t="n">
        <v>2.7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11459-2025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45726</v>
      </c>
      <c r="E120" s="1" t="n">
        <v>46317</v>
      </c>
      <c r="F120" t="inlineStr">
        <is>
          <t>VÄSTRA GÖTALANDS LÄN</t>
        </is>
      </c>
      <c r="G120" t="inlineStr">
        <is>
          <t>ALINGSÅS</t>
        </is>
      </c>
      <c r="I120" t="n">
        <v>1.9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11458-2025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45726</v>
      </c>
      <c r="E121" s="1" t="n">
        <v>46317</v>
      </c>
      <c r="F121" t="inlineStr">
        <is>
          <t>VÄSTRA GÖTALANDS LÄN</t>
        </is>
      </c>
      <c r="G121" t="inlineStr">
        <is>
          <t>ALINGSÅS</t>
        </is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47143-2025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45929</v>
      </c>
      <c r="E122" s="1" t="n">
        <v>46317</v>
      </c>
      <c r="F122" t="inlineStr">
        <is>
          <t>VÄSTRA GÖTALANDS LÄN</t>
        </is>
      </c>
      <c r="G122" t="inlineStr">
        <is>
          <t>ALINGSÅS</t>
        </is>
      </c>
      <c r="I122" t="n">
        <v>1.5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47562-2025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45931</v>
      </c>
      <c r="E123" s="1" t="n">
        <v>46317</v>
      </c>
      <c r="F123" t="inlineStr">
        <is>
          <t>VÄSTRA GÖTALANDS LÄN</t>
        </is>
      </c>
      <c r="G123" t="inlineStr">
        <is>
          <t>ALINGSÅS</t>
        </is>
      </c>
      <c r="I123" t="n">
        <v>7.5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64070-2023</t>
        </is>
      </c>
      <c r="B124" t="inlineStr">
        <is>
          <t>avverkningsanmälan</t>
        </is>
      </c>
      <c r="C124" t="inlineStr">
        <is>
          <t>Avverkning för att bevara och utveckla /försöksver</t>
        </is>
      </c>
      <c r="D124" s="1" t="n">
        <v>45279</v>
      </c>
      <c r="E124" s="1" t="n">
        <v>46317</v>
      </c>
      <c r="F124" t="inlineStr">
        <is>
          <t>VÄSTRA GÖTALANDS LÄN</t>
        </is>
      </c>
      <c r="G124" t="inlineStr">
        <is>
          <t>ALINGSÅS</t>
        </is>
      </c>
      <c r="H124" t="inlineStr">
        <is>
          <t>Kommuner</t>
        </is>
      </c>
      <c r="I124" t="n">
        <v>2.4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64058-2023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45279</v>
      </c>
      <c r="E125" s="1" t="n">
        <v>46317</v>
      </c>
      <c r="F125" t="inlineStr">
        <is>
          <t>VÄSTRA GÖTALANDS LÄN</t>
        </is>
      </c>
      <c r="G125" t="inlineStr">
        <is>
          <t>ALINGSÅS</t>
        </is>
      </c>
      <c r="H125" t="inlineStr">
        <is>
          <t>Kommuner</t>
        </is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64194-2023</t>
        </is>
      </c>
      <c r="B126" t="inlineStr">
        <is>
          <t>avverkningsanmälan</t>
        </is>
      </c>
      <c r="C126" t="inlineStr">
        <is>
          <t>Avverkning för att bevara och utveckla /försöksver</t>
        </is>
      </c>
      <c r="D126" s="1" t="n">
        <v>45279</v>
      </c>
      <c r="E126" s="1" t="n">
        <v>46317</v>
      </c>
      <c r="F126" t="inlineStr">
        <is>
          <t>VÄSTRA GÖTALANDS LÄN</t>
        </is>
      </c>
      <c r="G126" t="inlineStr">
        <is>
          <t>ALINGSÅS</t>
        </is>
      </c>
      <c r="H126" t="inlineStr">
        <is>
          <t>Kommuner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16609-2022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44672</v>
      </c>
      <c r="E127" s="1" t="n">
        <v>46317</v>
      </c>
      <c r="F127" t="inlineStr">
        <is>
          <t>VÄSTRA GÖTALANDS LÄN</t>
        </is>
      </c>
      <c r="G127" t="inlineStr">
        <is>
          <t>ALINGSÅS</t>
        </is>
      </c>
      <c r="I127" t="n">
        <v>4.1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16612-2022</t>
        </is>
      </c>
      <c r="B128" t="inlineStr">
        <is>
          <t>avverkningsanmälan</t>
        </is>
      </c>
      <c r="C128" t="inlineStr">
        <is>
          <t>Avverkning för annat ändamål</t>
        </is>
      </c>
      <c r="D128" s="1" t="n">
        <v>44672</v>
      </c>
      <c r="E128" s="1" t="n">
        <v>46317</v>
      </c>
      <c r="F128" t="inlineStr">
        <is>
          <t>VÄSTRA GÖTALANDS LÄN</t>
        </is>
      </c>
      <c r="G128" t="inlineStr">
        <is>
          <t>ALINGSÅS</t>
        </is>
      </c>
      <c r="I128" t="n">
        <v>0.6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9181-2022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44615</v>
      </c>
      <c r="E129" s="1" t="n">
        <v>46317</v>
      </c>
      <c r="F129" t="inlineStr">
        <is>
          <t>VÄSTRA GÖTALANDS LÄN</t>
        </is>
      </c>
      <c r="G129" t="inlineStr">
        <is>
          <t>ALINGSÅS</t>
        </is>
      </c>
      <c r="I129" t="n">
        <v>5.5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48966-2025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45937</v>
      </c>
      <c r="E130" s="1" t="n">
        <v>46317</v>
      </c>
      <c r="F130" t="inlineStr">
        <is>
          <t>VÄSTRA GÖTALANDS LÄN</t>
        </is>
      </c>
      <c r="G130" t="inlineStr">
        <is>
          <t>ALINGSÅS</t>
        </is>
      </c>
      <c r="I130" t="n">
        <v>4.9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49420-2025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45938</v>
      </c>
      <c r="E131" s="1" t="n">
        <v>46317</v>
      </c>
      <c r="F131" t="inlineStr">
        <is>
          <t>VÄSTRA GÖTALANDS LÄN</t>
        </is>
      </c>
      <c r="G131" t="inlineStr">
        <is>
          <t>ALINGSÅS</t>
        </is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48942-2025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45937</v>
      </c>
      <c r="E132" s="1" t="n">
        <v>46317</v>
      </c>
      <c r="F132" t="inlineStr">
        <is>
          <t>VÄSTRA GÖTALANDS LÄN</t>
        </is>
      </c>
      <c r="G132" t="inlineStr">
        <is>
          <t>ALINGSÅS</t>
        </is>
      </c>
      <c r="I132" t="n">
        <v>8.199999999999999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10916-2025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45722</v>
      </c>
      <c r="E133" s="1" t="n">
        <v>46317</v>
      </c>
      <c r="F133" t="inlineStr">
        <is>
          <t>VÄSTRA GÖTALANDS LÄN</t>
        </is>
      </c>
      <c r="G133" t="inlineStr">
        <is>
          <t>ALINGSÅS</t>
        </is>
      </c>
      <c r="I133" t="n">
        <v>4.4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19553-2024</t>
        </is>
      </c>
      <c r="B134" t="inlineStr">
        <is>
          <t>avverkningsanmälan</t>
        </is>
      </c>
      <c r="C134" t="inlineStr">
        <is>
          <t>Avverkning för annat ändamål</t>
        </is>
      </c>
      <c r="D134" s="1" t="n">
        <v>45429</v>
      </c>
      <c r="E134" s="1" t="n">
        <v>46317</v>
      </c>
      <c r="F134" t="inlineStr">
        <is>
          <t>VÄSTRA GÖTALANDS LÄN</t>
        </is>
      </c>
      <c r="G134" t="inlineStr">
        <is>
          <t>ALINGSÅS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43741-2024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45569</v>
      </c>
      <c r="E135" s="1" t="n">
        <v>46317</v>
      </c>
      <c r="F135" t="inlineStr">
        <is>
          <t>VÄSTRA GÖTALANDS LÄN</t>
        </is>
      </c>
      <c r="G135" t="inlineStr">
        <is>
          <t>ALINGSÅS</t>
        </is>
      </c>
      <c r="I135" t="n">
        <v>0.7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35004-2025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45850</v>
      </c>
      <c r="E136" s="1" t="n">
        <v>46317</v>
      </c>
      <c r="F136" t="inlineStr">
        <is>
          <t>VÄSTRA GÖTALANDS LÄN</t>
        </is>
      </c>
      <c r="G136" t="inlineStr">
        <is>
          <t>ALINGSÅS</t>
        </is>
      </c>
      <c r="I136" t="n">
        <v>0.6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59292-2023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45253</v>
      </c>
      <c r="E137" s="1" t="n">
        <v>46317</v>
      </c>
      <c r="F137" t="inlineStr">
        <is>
          <t>VÄSTRA GÖTALANDS LÄN</t>
        </is>
      </c>
      <c r="G137" t="inlineStr">
        <is>
          <t>ALINGSÅS</t>
        </is>
      </c>
      <c r="I137" t="n">
        <v>3.1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35003-2025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45850</v>
      </c>
      <c r="E138" s="1" t="n">
        <v>46317</v>
      </c>
      <c r="F138" t="inlineStr">
        <is>
          <t>VÄSTRA GÖTALANDS LÄN</t>
        </is>
      </c>
      <c r="G138" t="inlineStr">
        <is>
          <t>ALINGSÅS</t>
        </is>
      </c>
      <c r="I138" t="n">
        <v>1.3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45612-2025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45922</v>
      </c>
      <c r="E139" s="1" t="n">
        <v>46317</v>
      </c>
      <c r="F139" t="inlineStr">
        <is>
          <t>VÄSTRA GÖTALANDS LÄN</t>
        </is>
      </c>
      <c r="G139" t="inlineStr">
        <is>
          <t>ALINGSÅS</t>
        </is>
      </c>
      <c r="I139" t="n">
        <v>1.6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43435-2024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45568</v>
      </c>
      <c r="E140" s="1" t="n">
        <v>46317</v>
      </c>
      <c r="F140" t="inlineStr">
        <is>
          <t>VÄSTRA GÖTALANDS LÄN</t>
        </is>
      </c>
      <c r="G140" t="inlineStr">
        <is>
          <t>ALINGSÅS</t>
        </is>
      </c>
      <c r="I140" t="n">
        <v>4.8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10587-2025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45721</v>
      </c>
      <c r="E141" s="1" t="n">
        <v>46317</v>
      </c>
      <c r="F141" t="inlineStr">
        <is>
          <t>VÄSTRA GÖTALANDS LÄN</t>
        </is>
      </c>
      <c r="G141" t="inlineStr">
        <is>
          <t>ALINGSÅS</t>
        </is>
      </c>
      <c r="I141" t="n">
        <v>2.1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58410-2024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45634</v>
      </c>
      <c r="E142" s="1" t="n">
        <v>46317</v>
      </c>
      <c r="F142" t="inlineStr">
        <is>
          <t>VÄSTRA GÖTALANDS LÄN</t>
        </is>
      </c>
      <c r="G142" t="inlineStr">
        <is>
          <t>ALINGSÅS</t>
        </is>
      </c>
      <c r="I142" t="n">
        <v>5.7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17550-2025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45757</v>
      </c>
      <c r="E143" s="1" t="n">
        <v>46317</v>
      </c>
      <c r="F143" t="inlineStr">
        <is>
          <t>VÄSTRA GÖTALANDS LÄN</t>
        </is>
      </c>
      <c r="G143" t="inlineStr">
        <is>
          <t>ALINGSÅS</t>
        </is>
      </c>
      <c r="I143" t="n">
        <v>1.2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53628-2023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45230</v>
      </c>
      <c r="E144" s="1" t="n">
        <v>46317</v>
      </c>
      <c r="F144" t="inlineStr">
        <is>
          <t>VÄSTRA GÖTALANDS LÄN</t>
        </is>
      </c>
      <c r="G144" t="inlineStr">
        <is>
          <t>ALINGSÅS</t>
        </is>
      </c>
      <c r="I144" t="n">
        <v>1.5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53222-2025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45958</v>
      </c>
      <c r="E145" s="1" t="n">
        <v>46317</v>
      </c>
      <c r="F145" t="inlineStr">
        <is>
          <t>VÄSTRA GÖTALANDS LÄN</t>
        </is>
      </c>
      <c r="G145" t="inlineStr">
        <is>
          <t>ALINGSÅS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12318-2022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44637</v>
      </c>
      <c r="E146" s="1" t="n">
        <v>46317</v>
      </c>
      <c r="F146" t="inlineStr">
        <is>
          <t>VÄSTRA GÖTALANDS LÄN</t>
        </is>
      </c>
      <c r="G146" t="inlineStr">
        <is>
          <t>ALINGSÅS</t>
        </is>
      </c>
      <c r="I146" t="n">
        <v>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54122-2025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45964</v>
      </c>
      <c r="E147" s="1" t="n">
        <v>46317</v>
      </c>
      <c r="F147" t="inlineStr">
        <is>
          <t>VÄSTRA GÖTALANDS LÄN</t>
        </is>
      </c>
      <c r="G147" t="inlineStr">
        <is>
          <t>ALINGSÅS</t>
        </is>
      </c>
      <c r="I147" t="n">
        <v>0.7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54074-2025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45964</v>
      </c>
      <c r="E148" s="1" t="n">
        <v>46317</v>
      </c>
      <c r="F148" t="inlineStr">
        <is>
          <t>VÄSTRA GÖTALANDS LÄN</t>
        </is>
      </c>
      <c r="G148" t="inlineStr">
        <is>
          <t>ALINGSÅS</t>
        </is>
      </c>
      <c r="I148" t="n">
        <v>0.7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54073-2025</t>
        </is>
      </c>
      <c r="B149" t="inlineStr">
        <is>
          <t>avverkningsanmälan</t>
        </is>
      </c>
      <c r="C149" t="inlineStr">
        <is>
          <t>Avverkning för att bevara och utveckla /försöksver</t>
        </is>
      </c>
      <c r="D149" s="1" t="n">
        <v>45964</v>
      </c>
      <c r="E149" s="1" t="n">
        <v>46317</v>
      </c>
      <c r="F149" t="inlineStr">
        <is>
          <t>VÄSTRA GÖTALANDS LÄN</t>
        </is>
      </c>
      <c r="G149" t="inlineStr">
        <is>
          <t>ALINGSÅS</t>
        </is>
      </c>
      <c r="I149" t="n">
        <v>3.3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54644-2025</t>
        </is>
      </c>
      <c r="B150" t="inlineStr">
        <is>
          <t>avverkningsanmälan</t>
        </is>
      </c>
      <c r="C150" t="inlineStr">
        <is>
          <t>Avverkning för annat ändamål</t>
        </is>
      </c>
      <c r="D150" s="1" t="n">
        <v>45966</v>
      </c>
      <c r="E150" s="1" t="n">
        <v>46317</v>
      </c>
      <c r="F150" t="inlineStr">
        <is>
          <t>VÄSTRA GÖTALANDS LÄN</t>
        </is>
      </c>
      <c r="G150" t="inlineStr">
        <is>
          <t>ALINGSÅS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54643-2025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45966</v>
      </c>
      <c r="E151" s="1" t="n">
        <v>46317</v>
      </c>
      <c r="F151" t="inlineStr">
        <is>
          <t>VÄSTRA GÖTALANDS LÄN</t>
        </is>
      </c>
      <c r="G151" t="inlineStr">
        <is>
          <t>ALINGSÅS</t>
        </is>
      </c>
      <c r="I151" t="n">
        <v>2.2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3028-2026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46038</v>
      </c>
      <c r="E152" s="1" t="n">
        <v>46317</v>
      </c>
      <c r="F152" t="inlineStr">
        <is>
          <t>VÄSTRA GÖTALANDS LÄN</t>
        </is>
      </c>
      <c r="G152" t="inlineStr">
        <is>
          <t>ALINGSÅS</t>
        </is>
      </c>
      <c r="I152" t="n">
        <v>1.1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55775-2025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45972</v>
      </c>
      <c r="E153" s="1" t="n">
        <v>46317</v>
      </c>
      <c r="F153" t="inlineStr">
        <is>
          <t>VÄSTRA GÖTALANDS LÄN</t>
        </is>
      </c>
      <c r="G153" t="inlineStr">
        <is>
          <t>ALINGSÅS</t>
        </is>
      </c>
      <c r="I153" t="n">
        <v>0.9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3049-2026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46038</v>
      </c>
      <c r="E154" s="1" t="n">
        <v>46317</v>
      </c>
      <c r="F154" t="inlineStr">
        <is>
          <t>VÄSTRA GÖTALANDS LÄN</t>
        </is>
      </c>
      <c r="G154" t="inlineStr">
        <is>
          <t>ALINGSÅS</t>
        </is>
      </c>
      <c r="I154" t="n">
        <v>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57912-2025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45972</v>
      </c>
      <c r="E155" s="1" t="n">
        <v>46317</v>
      </c>
      <c r="F155" t="inlineStr">
        <is>
          <t>VÄSTRA GÖTALANDS LÄN</t>
        </is>
      </c>
      <c r="G155" t="inlineStr">
        <is>
          <t>ALINGSÅS</t>
        </is>
      </c>
      <c r="I155" t="n">
        <v>2.7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55294-2025</t>
        </is>
      </c>
      <c r="B156" t="inlineStr">
        <is>
          <t>avverkningsanmälan</t>
        </is>
      </c>
      <c r="C156" t="inlineStr">
        <is>
          <t>Avverkning för annat ändamål</t>
        </is>
      </c>
      <c r="D156" s="1" t="n">
        <v>45969</v>
      </c>
      <c r="E156" s="1" t="n">
        <v>46317</v>
      </c>
      <c r="F156" t="inlineStr">
        <is>
          <t>VÄSTRA GÖTALANDS LÄN</t>
        </is>
      </c>
      <c r="G156" t="inlineStr">
        <is>
          <t>ALINGSÅS</t>
        </is>
      </c>
      <c r="I156" t="n">
        <v>1.1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3048-2026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46038</v>
      </c>
      <c r="E157" s="1" t="n">
        <v>46317</v>
      </c>
      <c r="F157" t="inlineStr">
        <is>
          <t>VÄSTRA GÖTALANDS LÄN</t>
        </is>
      </c>
      <c r="G157" t="inlineStr">
        <is>
          <t>ALINGSÅS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56311-2025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45974</v>
      </c>
      <c r="E158" s="1" t="n">
        <v>46317</v>
      </c>
      <c r="F158" t="inlineStr">
        <is>
          <t>VÄSTRA GÖTALANDS LÄN</t>
        </is>
      </c>
      <c r="G158" t="inlineStr">
        <is>
          <t>ALINGSÅS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56116-2025</t>
        </is>
      </c>
      <c r="B159" t="inlineStr">
        <is>
          <t>avverkningsanmälan</t>
        </is>
      </c>
      <c r="C159" t="inlineStr">
        <is>
          <t>Avverkning för att bevara och utveckla /försöksver</t>
        </is>
      </c>
      <c r="D159" s="1" t="n">
        <v>45973</v>
      </c>
      <c r="E159" s="1" t="n">
        <v>46317</v>
      </c>
      <c r="F159" t="inlineStr">
        <is>
          <t>VÄSTRA GÖTALANDS LÄN</t>
        </is>
      </c>
      <c r="G159" t="inlineStr">
        <is>
          <t>ALINGSÅS</t>
        </is>
      </c>
      <c r="I159" t="n">
        <v>0.7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56118-2025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45973</v>
      </c>
      <c r="E160" s="1" t="n">
        <v>46317</v>
      </c>
      <c r="F160" t="inlineStr">
        <is>
          <t>VÄSTRA GÖTALANDS LÄN</t>
        </is>
      </c>
      <c r="G160" t="inlineStr">
        <is>
          <t>ALINGSÅS</t>
        </is>
      </c>
      <c r="I160" t="n">
        <v>2.8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15019-2023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45015</v>
      </c>
      <c r="E161" s="1" t="n">
        <v>46317</v>
      </c>
      <c r="F161" t="inlineStr">
        <is>
          <t>VÄSTRA GÖTALANDS LÄN</t>
        </is>
      </c>
      <c r="G161" t="inlineStr">
        <is>
          <t>ALINGSÅS</t>
        </is>
      </c>
      <c r="I161" t="n">
        <v>1.9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4203-2026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46044</v>
      </c>
      <c r="E162" s="1" t="n">
        <v>46317</v>
      </c>
      <c r="F162" t="inlineStr">
        <is>
          <t>VÄSTRA GÖTALANDS LÄN</t>
        </is>
      </c>
      <c r="G162" t="inlineStr">
        <is>
          <t>ALINGSÅS</t>
        </is>
      </c>
      <c r="I162" t="n">
        <v>1.6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63143-2021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44505</v>
      </c>
      <c r="E163" s="1" t="n">
        <v>46317</v>
      </c>
      <c r="F163" t="inlineStr">
        <is>
          <t>VÄSTRA GÖTALANDS LÄN</t>
        </is>
      </c>
      <c r="G163" t="inlineStr">
        <is>
          <t>ALINGSÅS</t>
        </is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26316-2023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45091</v>
      </c>
      <c r="E164" s="1" t="n">
        <v>46317</v>
      </c>
      <c r="F164" t="inlineStr">
        <is>
          <t>VÄSTRA GÖTALANDS LÄN</t>
        </is>
      </c>
      <c r="G164" t="inlineStr">
        <is>
          <t>ALINGSÅS</t>
        </is>
      </c>
      <c r="I164" t="n">
        <v>5.6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11024-2023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44991</v>
      </c>
      <c r="E165" s="1" t="n">
        <v>46317</v>
      </c>
      <c r="F165" t="inlineStr">
        <is>
          <t>VÄSTRA GÖTALANDS LÄN</t>
        </is>
      </c>
      <c r="G165" t="inlineStr">
        <is>
          <t>ALINGSÅS</t>
        </is>
      </c>
      <c r="I165" t="n">
        <v>0.9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58636-2025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45986</v>
      </c>
      <c r="E166" s="1" t="n">
        <v>46317</v>
      </c>
      <c r="F166" t="inlineStr">
        <is>
          <t>VÄSTRA GÖTALANDS LÄN</t>
        </is>
      </c>
      <c r="G166" t="inlineStr">
        <is>
          <t>ALINGSÅS</t>
        </is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22186-2025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45785</v>
      </c>
      <c r="E167" s="1" t="n">
        <v>46317</v>
      </c>
      <c r="F167" t="inlineStr">
        <is>
          <t>VÄSTRA GÖTALANDS LÄN</t>
        </is>
      </c>
      <c r="G167" t="inlineStr">
        <is>
          <t>ALINGSÅS</t>
        </is>
      </c>
      <c r="I167" t="n">
        <v>2.2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59396-2025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45989</v>
      </c>
      <c r="E168" s="1" t="n">
        <v>46317</v>
      </c>
      <c r="F168" t="inlineStr">
        <is>
          <t>VÄSTRA GÖTALANDS LÄN</t>
        </is>
      </c>
      <c r="G168" t="inlineStr">
        <is>
          <t>ALINGSÅS</t>
        </is>
      </c>
      <c r="H168" t="inlineStr">
        <is>
          <t>Kyrkan</t>
        </is>
      </c>
      <c r="I168" t="n">
        <v>2.3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59397-2025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45989</v>
      </c>
      <c r="E169" s="1" t="n">
        <v>46317</v>
      </c>
      <c r="F169" t="inlineStr">
        <is>
          <t>VÄSTRA GÖTALANDS LÄN</t>
        </is>
      </c>
      <c r="G169" t="inlineStr">
        <is>
          <t>ALINGSÅS</t>
        </is>
      </c>
      <c r="H169" t="inlineStr">
        <is>
          <t>Kyrkan</t>
        </is>
      </c>
      <c r="I169" t="n">
        <v>4.3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14313-2023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45011</v>
      </c>
      <c r="E170" s="1" t="n">
        <v>46317</v>
      </c>
      <c r="F170" t="inlineStr">
        <is>
          <t>VÄSTRA GÖTALANDS LÄN</t>
        </is>
      </c>
      <c r="G170" t="inlineStr">
        <is>
          <t>ALINGSÅS</t>
        </is>
      </c>
      <c r="I170" t="n">
        <v>3.8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23559-2022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44721</v>
      </c>
      <c r="E171" s="1" t="n">
        <v>46317</v>
      </c>
      <c r="F171" t="inlineStr">
        <is>
          <t>VÄSTRA GÖTALANDS LÄN</t>
        </is>
      </c>
      <c r="G171" t="inlineStr">
        <is>
          <t>ALINGSÅS</t>
        </is>
      </c>
      <c r="I171" t="n">
        <v>2.8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5962-2023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44964</v>
      </c>
      <c r="E172" s="1" t="n">
        <v>46317</v>
      </c>
      <c r="F172" t="inlineStr">
        <is>
          <t>VÄSTRA GÖTALANDS LÄN</t>
        </is>
      </c>
      <c r="G172" t="inlineStr">
        <is>
          <t>ALINGSÅS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60725-2025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45996</v>
      </c>
      <c r="E173" s="1" t="n">
        <v>46317</v>
      </c>
      <c r="F173" t="inlineStr">
        <is>
          <t>VÄSTRA GÖTALANDS LÄN</t>
        </is>
      </c>
      <c r="G173" t="inlineStr">
        <is>
          <t>ALINGSÅS</t>
        </is>
      </c>
      <c r="I173" t="n">
        <v>5.2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61205-2025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46000</v>
      </c>
      <c r="E174" s="1" t="n">
        <v>46317</v>
      </c>
      <c r="F174" t="inlineStr">
        <is>
          <t>VÄSTRA GÖTALANDS LÄN</t>
        </is>
      </c>
      <c r="G174" t="inlineStr">
        <is>
          <t>ALINGSÅS</t>
        </is>
      </c>
      <c r="I174" t="n">
        <v>2.8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32286-2024</t>
        </is>
      </c>
      <c r="B175" t="inlineStr">
        <is>
          <t>avverkningsanmälan</t>
        </is>
      </c>
      <c r="C175" t="inlineStr">
        <is>
          <t>Avverkning för att bevara och utveckla /försöksver</t>
        </is>
      </c>
      <c r="D175" s="1" t="n">
        <v>45512</v>
      </c>
      <c r="E175" s="1" t="n">
        <v>46317</v>
      </c>
      <c r="F175" t="inlineStr">
        <is>
          <t>VÄSTRA GÖTALANDS LÄN</t>
        </is>
      </c>
      <c r="G175" t="inlineStr">
        <is>
          <t>ALINGSÅS</t>
        </is>
      </c>
      <c r="I175" t="n">
        <v>2.3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61134-2025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46000</v>
      </c>
      <c r="E176" s="1" t="n">
        <v>46317</v>
      </c>
      <c r="F176" t="inlineStr">
        <is>
          <t>VÄSTRA GÖTALANDS LÄN</t>
        </is>
      </c>
      <c r="G176" t="inlineStr">
        <is>
          <t>ALINGSÅS</t>
        </is>
      </c>
      <c r="I176" t="n">
        <v>2.7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24607-2022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44727</v>
      </c>
      <c r="E177" s="1" t="n">
        <v>46317</v>
      </c>
      <c r="F177" t="inlineStr">
        <is>
          <t>VÄSTRA GÖTALANDS LÄN</t>
        </is>
      </c>
      <c r="G177" t="inlineStr">
        <is>
          <t>ALINGSÅS</t>
        </is>
      </c>
      <c r="I177" t="n">
        <v>9.5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15018-2023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45015</v>
      </c>
      <c r="E178" s="1" t="n">
        <v>46317</v>
      </c>
      <c r="F178" t="inlineStr">
        <is>
          <t>VÄSTRA GÖTALANDS LÄN</t>
        </is>
      </c>
      <c r="G178" t="inlineStr">
        <is>
          <t>ALINGSÅS</t>
        </is>
      </c>
      <c r="I178" t="n">
        <v>4.1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7805-2025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45706</v>
      </c>
      <c r="E179" s="1" t="n">
        <v>46317</v>
      </c>
      <c r="F179" t="inlineStr">
        <is>
          <t>VÄSTRA GÖTALANDS LÄN</t>
        </is>
      </c>
      <c r="G179" t="inlineStr">
        <is>
          <t>ALINGSÅS</t>
        </is>
      </c>
      <c r="I179" t="n">
        <v>1.5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21727-2022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44708</v>
      </c>
      <c r="E180" s="1" t="n">
        <v>46317</v>
      </c>
      <c r="F180" t="inlineStr">
        <is>
          <t>VÄSTRA GÖTALANDS LÄN</t>
        </is>
      </c>
      <c r="G180" t="inlineStr">
        <is>
          <t>ALINGSÅS</t>
        </is>
      </c>
      <c r="I180" t="n">
        <v>3.8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261-2025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45660</v>
      </c>
      <c r="E181" s="1" t="n">
        <v>46317</v>
      </c>
      <c r="F181" t="inlineStr">
        <is>
          <t>VÄSTRA GÖTALANDS LÄN</t>
        </is>
      </c>
      <c r="G181" t="inlineStr">
        <is>
          <t>ALINGSÅS</t>
        </is>
      </c>
      <c r="I181" t="n">
        <v>0.9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9362-2026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46070</v>
      </c>
      <c r="E182" s="1" t="n">
        <v>46317</v>
      </c>
      <c r="F182" t="inlineStr">
        <is>
          <t>VÄSTRA GÖTALANDS LÄN</t>
        </is>
      </c>
      <c r="G182" t="inlineStr">
        <is>
          <t>ALINGSÅS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15798-2023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45021</v>
      </c>
      <c r="E183" s="1" t="n">
        <v>46317</v>
      </c>
      <c r="F183" t="inlineStr">
        <is>
          <t>VÄSTRA GÖTALANDS LÄN</t>
        </is>
      </c>
      <c r="G183" t="inlineStr">
        <is>
          <t>ALINGSÅS</t>
        </is>
      </c>
      <c r="I183" t="n">
        <v>0.7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3769-2025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45681</v>
      </c>
      <c r="E184" s="1" t="n">
        <v>46317</v>
      </c>
      <c r="F184" t="inlineStr">
        <is>
          <t>VÄSTRA GÖTALANDS LÄN</t>
        </is>
      </c>
      <c r="G184" t="inlineStr">
        <is>
          <t>ALINGSÅS</t>
        </is>
      </c>
      <c r="I184" t="n">
        <v>1.5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12039-2026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46086</v>
      </c>
      <c r="E185" s="1" t="n">
        <v>46317</v>
      </c>
      <c r="F185" t="inlineStr">
        <is>
          <t>VÄSTRA GÖTALANDS LÄN</t>
        </is>
      </c>
      <c r="G185" t="inlineStr">
        <is>
          <t>ALINGSÅS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12168-2026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46086</v>
      </c>
      <c r="E186" s="1" t="n">
        <v>46317</v>
      </c>
      <c r="F186" t="inlineStr">
        <is>
          <t>VÄSTRA GÖTALANDS LÄN</t>
        </is>
      </c>
      <c r="G186" t="inlineStr">
        <is>
          <t>ALINGSÅS</t>
        </is>
      </c>
      <c r="I186" t="n">
        <v>2.5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41971-2023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45177</v>
      </c>
      <c r="E187" s="1" t="n">
        <v>46317</v>
      </c>
      <c r="F187" t="inlineStr">
        <is>
          <t>VÄSTRA GÖTALANDS LÄN</t>
        </is>
      </c>
      <c r="G187" t="inlineStr">
        <is>
          <t>ALINGSÅS</t>
        </is>
      </c>
      <c r="I187" t="n">
        <v>1.1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8599-2023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44977</v>
      </c>
      <c r="E188" s="1" t="n">
        <v>46317</v>
      </c>
      <c r="F188" t="inlineStr">
        <is>
          <t>VÄSTRA GÖTALANDS LÄN</t>
        </is>
      </c>
      <c r="G188" t="inlineStr">
        <is>
          <t>ALINGSÅS</t>
        </is>
      </c>
      <c r="I188" t="n">
        <v>0.6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25746-2024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45465</v>
      </c>
      <c r="E189" s="1" t="n">
        <v>46317</v>
      </c>
      <c r="F189" t="inlineStr">
        <is>
          <t>VÄSTRA GÖTALANDS LÄN</t>
        </is>
      </c>
      <c r="G189" t="inlineStr">
        <is>
          <t>ALINGSÅS</t>
        </is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8620-2023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44977</v>
      </c>
      <c r="E190" s="1" t="n">
        <v>46317</v>
      </c>
      <c r="F190" t="inlineStr">
        <is>
          <t>VÄSTRA GÖTALANDS LÄN</t>
        </is>
      </c>
      <c r="G190" t="inlineStr">
        <is>
          <t>ALINGSÅS</t>
        </is>
      </c>
      <c r="I190" t="n">
        <v>1.4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16077-2026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46108</v>
      </c>
      <c r="E191" s="1" t="n">
        <v>46317</v>
      </c>
      <c r="F191" t="inlineStr">
        <is>
          <t>VÄSTRA GÖTALANDS LÄN</t>
        </is>
      </c>
      <c r="G191" t="inlineStr">
        <is>
          <t>ALINGSÅS</t>
        </is>
      </c>
      <c r="I191" t="n">
        <v>1.1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16086-2026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46108</v>
      </c>
      <c r="E192" s="1" t="n">
        <v>46317</v>
      </c>
      <c r="F192" t="inlineStr">
        <is>
          <t>VÄSTRA GÖTALANDS LÄN</t>
        </is>
      </c>
      <c r="G192" t="inlineStr">
        <is>
          <t>ALINGSÅS</t>
        </is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15988-2026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46108</v>
      </c>
      <c r="E193" s="1" t="n">
        <v>46317</v>
      </c>
      <c r="F193" t="inlineStr">
        <is>
          <t>VÄSTRA GÖTALANDS LÄN</t>
        </is>
      </c>
      <c r="G193" t="inlineStr">
        <is>
          <t>ALINGSÅS</t>
        </is>
      </c>
      <c r="I193" t="n">
        <v>1.2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13858-2024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45391</v>
      </c>
      <c r="E194" s="1" t="n">
        <v>46317</v>
      </c>
      <c r="F194" t="inlineStr">
        <is>
          <t>VÄSTRA GÖTALANDS LÄN</t>
        </is>
      </c>
      <c r="G194" t="inlineStr">
        <is>
          <t>ALINGSÅS</t>
        </is>
      </c>
      <c r="I194" t="n">
        <v>3.2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17654-2026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46121</v>
      </c>
      <c r="E195" s="1" t="n">
        <v>46317</v>
      </c>
      <c r="F195" t="inlineStr">
        <is>
          <t>VÄSTRA GÖTALANDS LÄN</t>
        </is>
      </c>
      <c r="G195" t="inlineStr">
        <is>
          <t>ALINGSÅS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17680-2026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46121</v>
      </c>
      <c r="E196" s="1" t="n">
        <v>46317</v>
      </c>
      <c r="F196" t="inlineStr">
        <is>
          <t>VÄSTRA GÖTALANDS LÄN</t>
        </is>
      </c>
      <c r="G196" t="inlineStr">
        <is>
          <t>ALINGSÅS</t>
        </is>
      </c>
      <c r="I196" t="n">
        <v>1.6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17834-2026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46122</v>
      </c>
      <c r="E197" s="1" t="n">
        <v>46317</v>
      </c>
      <c r="F197" t="inlineStr">
        <is>
          <t>VÄSTRA GÖTALANDS LÄN</t>
        </is>
      </c>
      <c r="G197" t="inlineStr">
        <is>
          <t>ALINGSÅS</t>
        </is>
      </c>
      <c r="I197" t="n">
        <v>0.9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37429-2023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45156</v>
      </c>
      <c r="E198" s="1" t="n">
        <v>46317</v>
      </c>
      <c r="F198" t="inlineStr">
        <is>
          <t>VÄSTRA GÖTALANDS LÄN</t>
        </is>
      </c>
      <c r="G198" t="inlineStr">
        <is>
          <t>ALINGSÅS</t>
        </is>
      </c>
      <c r="H198" t="inlineStr">
        <is>
          <t>Kyrkan</t>
        </is>
      </c>
      <c r="I198" t="n">
        <v>9.199999999999999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18574-2026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46127</v>
      </c>
      <c r="E199" s="1" t="n">
        <v>46317</v>
      </c>
      <c r="F199" t="inlineStr">
        <is>
          <t>VÄSTRA GÖTALANDS LÄN</t>
        </is>
      </c>
      <c r="G199" t="inlineStr">
        <is>
          <t>ALINGSÅS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18360-2026</t>
        </is>
      </c>
      <c r="B200" t="inlineStr">
        <is>
          <t>avverkningsanmälan</t>
        </is>
      </c>
      <c r="C200" t="inlineStr">
        <is>
          <t>Avverkning för annat ändamål</t>
        </is>
      </c>
      <c r="D200" s="1" t="n">
        <v>46126</v>
      </c>
      <c r="E200" s="1" t="n">
        <v>46317</v>
      </c>
      <c r="F200" t="inlineStr">
        <is>
          <t>VÄSTRA GÖTALANDS LÄN</t>
        </is>
      </c>
      <c r="G200" t="inlineStr">
        <is>
          <t>ALINGSÅS</t>
        </is>
      </c>
      <c r="H200" t="inlineStr">
        <is>
          <t>Kommuner</t>
        </is>
      </c>
      <c r="I200" t="n">
        <v>0.4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30478-2023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45111</v>
      </c>
      <c r="E201" s="1" t="n">
        <v>46317</v>
      </c>
      <c r="F201" t="inlineStr">
        <is>
          <t>VÄSTRA GÖTALANDS LÄN</t>
        </is>
      </c>
      <c r="G201" t="inlineStr">
        <is>
          <t>ALINGSÅS</t>
        </is>
      </c>
      <c r="I201" t="n">
        <v>5.4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3495-2023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44949</v>
      </c>
      <c r="E202" s="1" t="n">
        <v>46317</v>
      </c>
      <c r="F202" t="inlineStr">
        <is>
          <t>VÄSTRA GÖTALANDS LÄN</t>
        </is>
      </c>
      <c r="G202" t="inlineStr">
        <is>
          <t>ALINGSÅS</t>
        </is>
      </c>
      <c r="I202" t="n">
        <v>3.8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18889-2026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46129</v>
      </c>
      <c r="E203" s="1" t="n">
        <v>46317</v>
      </c>
      <c r="F203" t="inlineStr">
        <is>
          <t>VÄSTRA GÖTALANDS LÄN</t>
        </is>
      </c>
      <c r="G203" t="inlineStr">
        <is>
          <t>ALINGSÅS</t>
        </is>
      </c>
      <c r="I203" t="n">
        <v>2.4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3355-2023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44949</v>
      </c>
      <c r="E204" s="1" t="n">
        <v>46317</v>
      </c>
      <c r="F204" t="inlineStr">
        <is>
          <t>VÄSTRA GÖTALANDS LÄN</t>
        </is>
      </c>
      <c r="G204" t="inlineStr">
        <is>
          <t>ALINGSÅS</t>
        </is>
      </c>
      <c r="I204" t="n">
        <v>6.8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19025-2026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46131</v>
      </c>
      <c r="E205" s="1" t="n">
        <v>46317</v>
      </c>
      <c r="F205" t="inlineStr">
        <is>
          <t>VÄSTRA GÖTALANDS LÄN</t>
        </is>
      </c>
      <c r="G205" t="inlineStr">
        <is>
          <t>ALINGSÅS</t>
        </is>
      </c>
      <c r="I205" t="n">
        <v>0.6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59956-2023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45257</v>
      </c>
      <c r="E206" s="1" t="n">
        <v>46317</v>
      </c>
      <c r="F206" t="inlineStr">
        <is>
          <t>VÄSTRA GÖTALANDS LÄN</t>
        </is>
      </c>
      <c r="G206" t="inlineStr">
        <is>
          <t>ALINGSÅS</t>
        </is>
      </c>
      <c r="I206" t="n">
        <v>1.2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5808-2024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45335</v>
      </c>
      <c r="E207" s="1" t="n">
        <v>46317</v>
      </c>
      <c r="F207" t="inlineStr">
        <is>
          <t>VÄSTRA GÖTALANDS LÄN</t>
        </is>
      </c>
      <c r="G207" t="inlineStr">
        <is>
          <t>ALINGSÅS</t>
        </is>
      </c>
      <c r="I207" t="n">
        <v>3.8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5810-2024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45335</v>
      </c>
      <c r="E208" s="1" t="n">
        <v>46317</v>
      </c>
      <c r="F208" t="inlineStr">
        <is>
          <t>VÄSTRA GÖTALANDS LÄN</t>
        </is>
      </c>
      <c r="G208" t="inlineStr">
        <is>
          <t>ALINGSÅS</t>
        </is>
      </c>
      <c r="I208" t="n">
        <v>3.9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48082-2024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45589</v>
      </c>
      <c r="E209" s="1" t="n">
        <v>46317</v>
      </c>
      <c r="F209" t="inlineStr">
        <is>
          <t>VÄSTRA GÖTALANDS LÄN</t>
        </is>
      </c>
      <c r="G209" t="inlineStr">
        <is>
          <t>ALINGSÅS</t>
        </is>
      </c>
      <c r="I209" t="n">
        <v>1.6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33490-2025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45841</v>
      </c>
      <c r="E210" s="1" t="n">
        <v>46317</v>
      </c>
      <c r="F210" t="inlineStr">
        <is>
          <t>VÄSTRA GÖTALANDS LÄN</t>
        </is>
      </c>
      <c r="G210" t="inlineStr">
        <is>
          <t>ALINGSÅS</t>
        </is>
      </c>
      <c r="I210" t="n">
        <v>7.9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33812-2023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45133</v>
      </c>
      <c r="E211" s="1" t="n">
        <v>46317</v>
      </c>
      <c r="F211" t="inlineStr">
        <is>
          <t>VÄSTRA GÖTALANDS LÄN</t>
        </is>
      </c>
      <c r="G211" t="inlineStr">
        <is>
          <t>ALINGSÅS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3618-2025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45681</v>
      </c>
      <c r="E212" s="1" t="n">
        <v>46317</v>
      </c>
      <c r="F212" t="inlineStr">
        <is>
          <t>VÄSTRA GÖTALANDS LÄN</t>
        </is>
      </c>
      <c r="G212" t="inlineStr">
        <is>
          <t>ALINGSÅS</t>
        </is>
      </c>
      <c r="I212" t="n">
        <v>3.4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44103-2025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45915</v>
      </c>
      <c r="E213" s="1" t="n">
        <v>46317</v>
      </c>
      <c r="F213" t="inlineStr">
        <is>
          <t>VÄSTRA GÖTALANDS LÄN</t>
        </is>
      </c>
      <c r="G213" t="inlineStr">
        <is>
          <t>ALINGSÅS</t>
        </is>
      </c>
      <c r="I213" t="n">
        <v>2.4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11539-2022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44631</v>
      </c>
      <c r="E214" s="1" t="n">
        <v>46317</v>
      </c>
      <c r="F214" t="inlineStr">
        <is>
          <t>VÄSTRA GÖTALANDS LÄN</t>
        </is>
      </c>
      <c r="G214" t="inlineStr">
        <is>
          <t>ALINGSÅS</t>
        </is>
      </c>
      <c r="I214" t="n">
        <v>2.4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20123-2025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45772</v>
      </c>
      <c r="E215" s="1" t="n">
        <v>46317</v>
      </c>
      <c r="F215" t="inlineStr">
        <is>
          <t>VÄSTRA GÖTALANDS LÄN</t>
        </is>
      </c>
      <c r="G215" t="inlineStr">
        <is>
          <t>ALINGSÅS</t>
        </is>
      </c>
      <c r="I215" t="n">
        <v>1.4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54615-2024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45617</v>
      </c>
      <c r="E216" s="1" t="n">
        <v>46317</v>
      </c>
      <c r="F216" t="inlineStr">
        <is>
          <t>VÄSTRA GÖTALANDS LÄN</t>
        </is>
      </c>
      <c r="G216" t="inlineStr">
        <is>
          <t>ALINGSÅS</t>
        </is>
      </c>
      <c r="I216" t="n">
        <v>1.9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29837-2025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45826</v>
      </c>
      <c r="E217" s="1" t="n">
        <v>46317</v>
      </c>
      <c r="F217" t="inlineStr">
        <is>
          <t>VÄSTRA GÖTALANDS LÄN</t>
        </is>
      </c>
      <c r="G217" t="inlineStr">
        <is>
          <t>ALINGSÅS</t>
        </is>
      </c>
      <c r="I217" t="n">
        <v>3.2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23617-2025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45792</v>
      </c>
      <c r="E218" s="1" t="n">
        <v>46317</v>
      </c>
      <c r="F218" t="inlineStr">
        <is>
          <t>VÄSTRA GÖTALANDS LÄN</t>
        </is>
      </c>
      <c r="G218" t="inlineStr">
        <is>
          <t>ALINGSÅS</t>
        </is>
      </c>
      <c r="I218" t="n">
        <v>1.9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59303-2024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45637</v>
      </c>
      <c r="E219" s="1" t="n">
        <v>46317</v>
      </c>
      <c r="F219" t="inlineStr">
        <is>
          <t>VÄSTRA GÖTALANDS LÄN</t>
        </is>
      </c>
      <c r="G219" t="inlineStr">
        <is>
          <t>ALINGSÅS</t>
        </is>
      </c>
      <c r="I219" t="n">
        <v>0.5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45323-2024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45576</v>
      </c>
      <c r="E220" s="1" t="n">
        <v>46317</v>
      </c>
      <c r="F220" t="inlineStr">
        <is>
          <t>VÄSTRA GÖTALANDS LÄN</t>
        </is>
      </c>
      <c r="G220" t="inlineStr">
        <is>
          <t>ALINGSÅS</t>
        </is>
      </c>
      <c r="I220" t="n">
        <v>0.7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23181-2023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45075</v>
      </c>
      <c r="E221" s="1" t="n">
        <v>46317</v>
      </c>
      <c r="F221" t="inlineStr">
        <is>
          <t>VÄSTRA GÖTALANDS LÄN</t>
        </is>
      </c>
      <c r="G221" t="inlineStr">
        <is>
          <t>ALINGSÅS</t>
        </is>
      </c>
      <c r="I221" t="n">
        <v>13.1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5757-2022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44596</v>
      </c>
      <c r="E222" s="1" t="n">
        <v>46317</v>
      </c>
      <c r="F222" t="inlineStr">
        <is>
          <t>VÄSTRA GÖTALANDS LÄN</t>
        </is>
      </c>
      <c r="G222" t="inlineStr">
        <is>
          <t>ALINGSÅS</t>
        </is>
      </c>
      <c r="I222" t="n">
        <v>1.3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5023-2024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45329</v>
      </c>
      <c r="E223" s="1" t="n">
        <v>46317</v>
      </c>
      <c r="F223" t="inlineStr">
        <is>
          <t>VÄSTRA GÖTALANDS LÄN</t>
        </is>
      </c>
      <c r="G223" t="inlineStr">
        <is>
          <t>ALINGSÅS</t>
        </is>
      </c>
      <c r="I223" t="n">
        <v>0.5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3172-2022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44582</v>
      </c>
      <c r="E224" s="1" t="n">
        <v>46317</v>
      </c>
      <c r="F224" t="inlineStr">
        <is>
          <t>VÄSTRA GÖTALANDS LÄN</t>
        </is>
      </c>
      <c r="G224" t="inlineStr">
        <is>
          <t>ALINGSÅS</t>
        </is>
      </c>
      <c r="I224" t="n">
        <v>3.7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49164-2024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45594</v>
      </c>
      <c r="E225" s="1" t="n">
        <v>46317</v>
      </c>
      <c r="F225" t="inlineStr">
        <is>
          <t>VÄSTRA GÖTALANDS LÄN</t>
        </is>
      </c>
      <c r="G225" t="inlineStr">
        <is>
          <t>ALINGSÅS</t>
        </is>
      </c>
      <c r="I225" t="n">
        <v>0.6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40880-2023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45173</v>
      </c>
      <c r="E226" s="1" t="n">
        <v>46317</v>
      </c>
      <c r="F226" t="inlineStr">
        <is>
          <t>VÄSTRA GÖTALANDS LÄN</t>
        </is>
      </c>
      <c r="G226" t="inlineStr">
        <is>
          <t>ALINGSÅS</t>
        </is>
      </c>
      <c r="I226" t="n">
        <v>2.3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49522-2024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45596</v>
      </c>
      <c r="E227" s="1" t="n">
        <v>46317</v>
      </c>
      <c r="F227" t="inlineStr">
        <is>
          <t>VÄSTRA GÖTALANDS LÄN</t>
        </is>
      </c>
      <c r="G227" t="inlineStr">
        <is>
          <t>ALINGSÅS</t>
        </is>
      </c>
      <c r="I227" t="n">
        <v>8.300000000000001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21143-2024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45440</v>
      </c>
      <c r="E228" s="1" t="n">
        <v>46317</v>
      </c>
      <c r="F228" t="inlineStr">
        <is>
          <t>VÄSTRA GÖTALANDS LÄN</t>
        </is>
      </c>
      <c r="G228" t="inlineStr">
        <is>
          <t>ALINGSÅS</t>
        </is>
      </c>
      <c r="I228" t="n">
        <v>4.1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24000-2024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45456</v>
      </c>
      <c r="E229" s="1" t="n">
        <v>46317</v>
      </c>
      <c r="F229" t="inlineStr">
        <is>
          <t>VÄSTRA GÖTALANDS LÄN</t>
        </is>
      </c>
      <c r="G229" t="inlineStr">
        <is>
          <t>ALINGSÅS</t>
        </is>
      </c>
      <c r="I229" t="n">
        <v>4.9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59566-2023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45254</v>
      </c>
      <c r="E230" s="1" t="n">
        <v>46317</v>
      </c>
      <c r="F230" t="inlineStr">
        <is>
          <t>VÄSTRA GÖTALANDS LÄN</t>
        </is>
      </c>
      <c r="G230" t="inlineStr">
        <is>
          <t>ALINGSÅS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24579-2022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44727</v>
      </c>
      <c r="E231" s="1" t="n">
        <v>46317</v>
      </c>
      <c r="F231" t="inlineStr">
        <is>
          <t>VÄSTRA GÖTALANDS LÄN</t>
        </is>
      </c>
      <c r="G231" t="inlineStr">
        <is>
          <t>ALINGSÅS</t>
        </is>
      </c>
      <c r="I231" t="n">
        <v>10.4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24668-2026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46171</v>
      </c>
      <c r="E232" s="1" t="n">
        <v>46317</v>
      </c>
      <c r="F232" t="inlineStr">
        <is>
          <t>VÄSTRA GÖTALANDS LÄN</t>
        </is>
      </c>
      <c r="G232" t="inlineStr">
        <is>
          <t>ALINGSÅS</t>
        </is>
      </c>
      <c r="I232" t="n">
        <v>0.6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24995-2026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46174</v>
      </c>
      <c r="E233" s="1" t="n">
        <v>46317</v>
      </c>
      <c r="F233" t="inlineStr">
        <is>
          <t>VÄSTRA GÖTALANDS LÄN</t>
        </is>
      </c>
      <c r="G233" t="inlineStr">
        <is>
          <t>ALINGSÅS</t>
        </is>
      </c>
      <c r="I233" t="n">
        <v>2.3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47233-2022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44852</v>
      </c>
      <c r="E234" s="1" t="n">
        <v>46317</v>
      </c>
      <c r="F234" t="inlineStr">
        <is>
          <t>VÄSTRA GÖTALANDS LÄN</t>
        </is>
      </c>
      <c r="G234" t="inlineStr">
        <is>
          <t>ALINGSÅS</t>
        </is>
      </c>
      <c r="I234" t="n">
        <v>1.7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24845-2026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46174</v>
      </c>
      <c r="E235" s="1" t="n">
        <v>46317</v>
      </c>
      <c r="F235" t="inlineStr">
        <is>
          <t>VÄSTRA GÖTALANDS LÄN</t>
        </is>
      </c>
      <c r="G235" t="inlineStr">
        <is>
          <t>ALINGSÅS</t>
        </is>
      </c>
      <c r="I235" t="n">
        <v>0.9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18159-2024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45420</v>
      </c>
      <c r="E236" s="1" t="n">
        <v>46317</v>
      </c>
      <c r="F236" t="inlineStr">
        <is>
          <t>VÄSTRA GÖTALANDS LÄN</t>
        </is>
      </c>
      <c r="G236" t="inlineStr">
        <is>
          <t>ALINGSÅS</t>
        </is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24847-2026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46174</v>
      </c>
      <c r="E237" s="1" t="n">
        <v>46317</v>
      </c>
      <c r="F237" t="inlineStr">
        <is>
          <t>VÄSTRA GÖTALANDS LÄN</t>
        </is>
      </c>
      <c r="G237" t="inlineStr">
        <is>
          <t>ALINGSÅS</t>
        </is>
      </c>
      <c r="I237" t="n">
        <v>0.8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25468-2026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46177</v>
      </c>
      <c r="E238" s="1" t="n">
        <v>46317</v>
      </c>
      <c r="F238" t="inlineStr">
        <is>
          <t>VÄSTRA GÖTALANDS LÄN</t>
        </is>
      </c>
      <c r="G238" t="inlineStr">
        <is>
          <t>ALINGSÅS</t>
        </is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25302-2026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46176</v>
      </c>
      <c r="E239" s="1" t="n">
        <v>46317</v>
      </c>
      <c r="F239" t="inlineStr">
        <is>
          <t>VÄSTRA GÖTALANDS LÄN</t>
        </is>
      </c>
      <c r="G239" t="inlineStr">
        <is>
          <t>ALINGSÅS</t>
        </is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25462-2026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46177</v>
      </c>
      <c r="E240" s="1" t="n">
        <v>46317</v>
      </c>
      <c r="F240" t="inlineStr">
        <is>
          <t>VÄSTRA GÖTALANDS LÄN</t>
        </is>
      </c>
      <c r="G240" t="inlineStr">
        <is>
          <t>ALINGSÅS</t>
        </is>
      </c>
      <c r="I240" t="n">
        <v>1.6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39471-2023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45166</v>
      </c>
      <c r="E241" s="1" t="n">
        <v>46317</v>
      </c>
      <c r="F241" t="inlineStr">
        <is>
          <t>VÄSTRA GÖTALANDS LÄN</t>
        </is>
      </c>
      <c r="G241" t="inlineStr">
        <is>
          <t>ALINGSÅS</t>
        </is>
      </c>
      <c r="I241" t="n">
        <v>3.2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25469-2026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46177</v>
      </c>
      <c r="E242" s="1" t="n">
        <v>46317</v>
      </c>
      <c r="F242" t="inlineStr">
        <is>
          <t>VÄSTRA GÖTALANDS LÄN</t>
        </is>
      </c>
      <c r="G242" t="inlineStr">
        <is>
          <t>ALINGSÅS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25775-2026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46178</v>
      </c>
      <c r="E243" s="1" t="n">
        <v>46317</v>
      </c>
      <c r="F243" t="inlineStr">
        <is>
          <t>VÄSTRA GÖTALANDS LÄN</t>
        </is>
      </c>
      <c r="G243" t="inlineStr">
        <is>
          <t>ALINGSÅS</t>
        </is>
      </c>
      <c r="I243" t="n">
        <v>3.3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25747-2024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45465</v>
      </c>
      <c r="E244" s="1" t="n">
        <v>46317</v>
      </c>
      <c r="F244" t="inlineStr">
        <is>
          <t>VÄSTRA GÖTALANDS LÄN</t>
        </is>
      </c>
      <c r="G244" t="inlineStr">
        <is>
          <t>ALINGSÅS</t>
        </is>
      </c>
      <c r="I244" t="n">
        <v>0.5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60904-2023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45261</v>
      </c>
      <c r="E245" s="1" t="n">
        <v>46317</v>
      </c>
      <c r="F245" t="inlineStr">
        <is>
          <t>VÄSTRA GÖTALANDS LÄN</t>
        </is>
      </c>
      <c r="G245" t="inlineStr">
        <is>
          <t>ALINGSÅS</t>
        </is>
      </c>
      <c r="I245" t="n">
        <v>1.4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60027-2023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45258</v>
      </c>
      <c r="E246" s="1" t="n">
        <v>46317</v>
      </c>
      <c r="F246" t="inlineStr">
        <is>
          <t>VÄSTRA GÖTALANDS LÄN</t>
        </is>
      </c>
      <c r="G246" t="inlineStr">
        <is>
          <t>ALINGSÅS</t>
        </is>
      </c>
      <c r="I246" t="n">
        <v>0.6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62671-2023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45271</v>
      </c>
      <c r="E247" s="1" t="n">
        <v>46317</v>
      </c>
      <c r="F247" t="inlineStr">
        <is>
          <t>VÄSTRA GÖTALANDS LÄN</t>
        </is>
      </c>
      <c r="G247" t="inlineStr">
        <is>
          <t>ALINGSÅS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2362-2024</t>
        </is>
      </c>
      <c r="B248" t="inlineStr">
        <is>
          <t>avverkningsanmälan</t>
        </is>
      </c>
      <c r="C248" t="inlineStr">
        <is>
          <t>Avverkning för annat ändamål</t>
        </is>
      </c>
      <c r="D248" s="1" t="n">
        <v>45310</v>
      </c>
      <c r="E248" s="1" t="n">
        <v>46317</v>
      </c>
      <c r="F248" t="inlineStr">
        <is>
          <t>VÄSTRA GÖTALANDS LÄN</t>
        </is>
      </c>
      <c r="G248" t="inlineStr">
        <is>
          <t>ALINGSÅS</t>
        </is>
      </c>
      <c r="I248" t="n">
        <v>0.4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61734-2023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45265</v>
      </c>
      <c r="E249" s="1" t="n">
        <v>46317</v>
      </c>
      <c r="F249" t="inlineStr">
        <is>
          <t>VÄSTRA GÖTALANDS LÄN</t>
        </is>
      </c>
      <c r="G249" t="inlineStr">
        <is>
          <t>ALINGSÅS</t>
        </is>
      </c>
      <c r="I249" t="n">
        <v>4.8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8080-2023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44974</v>
      </c>
      <c r="E250" s="1" t="n">
        <v>46317</v>
      </c>
      <c r="F250" t="inlineStr">
        <is>
          <t>VÄSTRA GÖTALANDS LÄN</t>
        </is>
      </c>
      <c r="G250" t="inlineStr">
        <is>
          <t>ALINGSÅS</t>
        </is>
      </c>
      <c r="I250" t="n">
        <v>5.5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27029-2026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46185</v>
      </c>
      <c r="E251" s="1" t="n">
        <v>46317</v>
      </c>
      <c r="F251" t="inlineStr">
        <is>
          <t>VÄSTRA GÖTALANDS LÄN</t>
        </is>
      </c>
      <c r="G251" t="inlineStr">
        <is>
          <t>ALINGSÅS</t>
        </is>
      </c>
      <c r="I251" t="n">
        <v>1.1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50633-2023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45210</v>
      </c>
      <c r="E252" s="1" t="n">
        <v>46317</v>
      </c>
      <c r="F252" t="inlineStr">
        <is>
          <t>VÄSTRA GÖTALANDS LÄN</t>
        </is>
      </c>
      <c r="G252" t="inlineStr">
        <is>
          <t>ALINGSÅS</t>
        </is>
      </c>
      <c r="I252" t="n">
        <v>4.5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25141-2022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44729</v>
      </c>
      <c r="E253" s="1" t="n">
        <v>46317</v>
      </c>
      <c r="F253" t="inlineStr">
        <is>
          <t>VÄSTRA GÖTALANDS LÄN</t>
        </is>
      </c>
      <c r="G253" t="inlineStr">
        <is>
          <t>ALINGSÅS</t>
        </is>
      </c>
      <c r="I253" t="n">
        <v>7.7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42531-2022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44831</v>
      </c>
      <c r="E254" s="1" t="n">
        <v>46317</v>
      </c>
      <c r="F254" t="inlineStr">
        <is>
          <t>VÄSTRA GÖTALANDS LÄN</t>
        </is>
      </c>
      <c r="G254" t="inlineStr">
        <is>
          <t>ALINGSÅS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7713-2024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45349</v>
      </c>
      <c r="E255" s="1" t="n">
        <v>46317</v>
      </c>
      <c r="F255" t="inlineStr">
        <is>
          <t>VÄSTRA GÖTALANDS LÄN</t>
        </is>
      </c>
      <c r="G255" t="inlineStr">
        <is>
          <t>ALINGSÅS</t>
        </is>
      </c>
      <c r="I255" t="n">
        <v>1.6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27401-2026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46189</v>
      </c>
      <c r="E256" s="1" t="n">
        <v>46317</v>
      </c>
      <c r="F256" t="inlineStr">
        <is>
          <t>VÄSTRA GÖTALANDS LÄN</t>
        </is>
      </c>
      <c r="G256" t="inlineStr">
        <is>
          <t>ALINGSÅS</t>
        </is>
      </c>
      <c r="I256" t="n">
        <v>0.8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27404-2026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46189</v>
      </c>
      <c r="E257" s="1" t="n">
        <v>46317</v>
      </c>
      <c r="F257" t="inlineStr">
        <is>
          <t>VÄSTRA GÖTALANDS LÄN</t>
        </is>
      </c>
      <c r="G257" t="inlineStr">
        <is>
          <t>ALINGSÅS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40293-2022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44821</v>
      </c>
      <c r="E258" s="1" t="n">
        <v>46317</v>
      </c>
      <c r="F258" t="inlineStr">
        <is>
          <t>VÄSTRA GÖTALANDS LÄN</t>
        </is>
      </c>
      <c r="G258" t="inlineStr">
        <is>
          <t>ALINGSÅS</t>
        </is>
      </c>
      <c r="I258" t="n">
        <v>5.4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27882-2026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46191</v>
      </c>
      <c r="E259" s="1" t="n">
        <v>46317</v>
      </c>
      <c r="F259" t="inlineStr">
        <is>
          <t>VÄSTRA GÖTALANDS LÄN</t>
        </is>
      </c>
      <c r="G259" t="inlineStr">
        <is>
          <t>ALINGSÅS</t>
        </is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27877-2026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46191</v>
      </c>
      <c r="E260" s="1" t="n">
        <v>46317</v>
      </c>
      <c r="F260" t="inlineStr">
        <is>
          <t>VÄSTRA GÖTALANDS LÄN</t>
        </is>
      </c>
      <c r="G260" t="inlineStr">
        <is>
          <t>ALINGSÅS</t>
        </is>
      </c>
      <c r="I260" t="n">
        <v>21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27431-2023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45097</v>
      </c>
      <c r="E261" s="1" t="n">
        <v>46317</v>
      </c>
      <c r="F261" t="inlineStr">
        <is>
          <t>VÄSTRA GÖTALANDS LÄN</t>
        </is>
      </c>
      <c r="G261" t="inlineStr">
        <is>
          <t>ALINGSÅS</t>
        </is>
      </c>
      <c r="I261" t="n">
        <v>0.6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8981-2023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44979</v>
      </c>
      <c r="E262" s="1" t="n">
        <v>46317</v>
      </c>
      <c r="F262" t="inlineStr">
        <is>
          <t>VÄSTRA GÖTALANDS LÄN</t>
        </is>
      </c>
      <c r="G262" t="inlineStr">
        <is>
          <t>ALINGSÅS</t>
        </is>
      </c>
      <c r="I262" t="n">
        <v>2.7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57491-2022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44896</v>
      </c>
      <c r="E263" s="1" t="n">
        <v>46317</v>
      </c>
      <c r="F263" t="inlineStr">
        <is>
          <t>VÄSTRA GÖTALANDS LÄN</t>
        </is>
      </c>
      <c r="G263" t="inlineStr">
        <is>
          <t>ALINGSÅS</t>
        </is>
      </c>
      <c r="I263" t="n">
        <v>1.9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8828-2024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45356</v>
      </c>
      <c r="E264" s="1" t="n">
        <v>46317</v>
      </c>
      <c r="F264" t="inlineStr">
        <is>
          <t>VÄSTRA GÖTALANDS LÄN</t>
        </is>
      </c>
      <c r="G264" t="inlineStr">
        <is>
          <t>ALINGSÅS</t>
        </is>
      </c>
      <c r="I264" t="n">
        <v>1.2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52297-2024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45608</v>
      </c>
      <c r="E265" s="1" t="n">
        <v>46317</v>
      </c>
      <c r="F265" t="inlineStr">
        <is>
          <t>VÄSTRA GÖTALANDS LÄN</t>
        </is>
      </c>
      <c r="G265" t="inlineStr">
        <is>
          <t>ALINGSÅS</t>
        </is>
      </c>
      <c r="I265" t="n">
        <v>0.6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52302-2024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45608</v>
      </c>
      <c r="E266" s="1" t="n">
        <v>46317</v>
      </c>
      <c r="F266" t="inlineStr">
        <is>
          <t>VÄSTRA GÖTALANDS LÄN</t>
        </is>
      </c>
      <c r="G266" t="inlineStr">
        <is>
          <t>ALINGSÅS</t>
        </is>
      </c>
      <c r="I266" t="n">
        <v>1.9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59541-2022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44907</v>
      </c>
      <c r="E267" s="1" t="n">
        <v>46317</v>
      </c>
      <c r="F267" t="inlineStr">
        <is>
          <t>VÄSTRA GÖTALANDS LÄN</t>
        </is>
      </c>
      <c r="G267" t="inlineStr">
        <is>
          <t>ALINGSÅS</t>
        </is>
      </c>
      <c r="I267" t="n">
        <v>2.6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38508-2024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45546</v>
      </c>
      <c r="E268" s="1" t="n">
        <v>46317</v>
      </c>
      <c r="F268" t="inlineStr">
        <is>
          <t>VÄSTRA GÖTALANDS LÄN</t>
        </is>
      </c>
      <c r="G268" t="inlineStr">
        <is>
          <t>ALINGSÅS</t>
        </is>
      </c>
      <c r="I268" t="n">
        <v>2.6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8980-2023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44979</v>
      </c>
      <c r="E269" s="1" t="n">
        <v>46317</v>
      </c>
      <c r="F269" t="inlineStr">
        <is>
          <t>VÄSTRA GÖTALANDS LÄN</t>
        </is>
      </c>
      <c r="G269" t="inlineStr">
        <is>
          <t>ALINGSÅS</t>
        </is>
      </c>
      <c r="I269" t="n">
        <v>0.8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46240-2023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45196</v>
      </c>
      <c r="E270" s="1" t="n">
        <v>46317</v>
      </c>
      <c r="F270" t="inlineStr">
        <is>
          <t>VÄSTRA GÖTALANDS LÄN</t>
        </is>
      </c>
      <c r="G270" t="inlineStr">
        <is>
          <t>ALINGSÅS</t>
        </is>
      </c>
      <c r="I270" t="n">
        <v>5.3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31873-2023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45118</v>
      </c>
      <c r="E271" s="1" t="n">
        <v>46317</v>
      </c>
      <c r="F271" t="inlineStr">
        <is>
          <t>VÄSTRA GÖTALANDS LÄN</t>
        </is>
      </c>
      <c r="G271" t="inlineStr">
        <is>
          <t>ALINGSÅS</t>
        </is>
      </c>
      <c r="I271" t="n">
        <v>2.8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31970-2026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46232</v>
      </c>
      <c r="E272" s="1" t="n">
        <v>46317</v>
      </c>
      <c r="F272" t="inlineStr">
        <is>
          <t>VÄSTRA GÖTALANDS LÄN</t>
        </is>
      </c>
      <c r="G272" t="inlineStr">
        <is>
          <t>ALINGSÅS</t>
        </is>
      </c>
      <c r="I272" t="n">
        <v>1.8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3352-2025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45679</v>
      </c>
      <c r="E273" s="1" t="n">
        <v>46317</v>
      </c>
      <c r="F273" t="inlineStr">
        <is>
          <t>VÄSTRA GÖTALANDS LÄN</t>
        </is>
      </c>
      <c r="G273" t="inlineStr">
        <is>
          <t>ALINGSÅS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17048-2024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45412</v>
      </c>
      <c r="E274" s="1" t="n">
        <v>46317</v>
      </c>
      <c r="F274" t="inlineStr">
        <is>
          <t>VÄSTRA GÖTALANDS LÄN</t>
        </is>
      </c>
      <c r="G274" t="inlineStr">
        <is>
          <t>ALINGSÅS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52299-2024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45608</v>
      </c>
      <c r="E275" s="1" t="n">
        <v>46317</v>
      </c>
      <c r="F275" t="inlineStr">
        <is>
          <t>VÄSTRA GÖTALANDS LÄN</t>
        </is>
      </c>
      <c r="G275" t="inlineStr">
        <is>
          <t>ALINGSÅS</t>
        </is>
      </c>
      <c r="I275" t="n">
        <v>0.7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38292-2026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46282</v>
      </c>
      <c r="E276" s="1" t="n">
        <v>46317</v>
      </c>
      <c r="F276" t="inlineStr">
        <is>
          <t>VÄSTRA GÖTALANDS LÄN</t>
        </is>
      </c>
      <c r="G276" t="inlineStr">
        <is>
          <t>ALINGSÅS</t>
        </is>
      </c>
      <c r="I276" t="n">
        <v>3.7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4147-2023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44953</v>
      </c>
      <c r="E277" s="1" t="n">
        <v>46317</v>
      </c>
      <c r="F277" t="inlineStr">
        <is>
          <t>VÄSTRA GÖTALANDS LÄN</t>
        </is>
      </c>
      <c r="G277" t="inlineStr">
        <is>
          <t>ALINGSÅS</t>
        </is>
      </c>
      <c r="I277" t="n">
        <v>2.7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36332-2023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45152</v>
      </c>
      <c r="E278" s="1" t="n">
        <v>46317</v>
      </c>
      <c r="F278" t="inlineStr">
        <is>
          <t>VÄSTRA GÖTALANDS LÄN</t>
        </is>
      </c>
      <c r="G278" t="inlineStr">
        <is>
          <t>ALINGSÅS</t>
        </is>
      </c>
      <c r="I278" t="n">
        <v>3.6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38955-2022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44816</v>
      </c>
      <c r="E279" s="1" t="n">
        <v>46317</v>
      </c>
      <c r="F279" t="inlineStr">
        <is>
          <t>VÄSTRA GÖTALANDS LÄN</t>
        </is>
      </c>
      <c r="G279" t="inlineStr">
        <is>
          <t>ALINGSÅS</t>
        </is>
      </c>
      <c r="I279" t="n">
        <v>5.2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39472-2023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45166</v>
      </c>
      <c r="E280" s="1" t="n">
        <v>46317</v>
      </c>
      <c r="F280" t="inlineStr">
        <is>
          <t>VÄSTRA GÖTALANDS LÄN</t>
        </is>
      </c>
      <c r="G280" t="inlineStr">
        <is>
          <t>ALINGSÅS</t>
        </is>
      </c>
      <c r="I280" t="n">
        <v>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57450-2024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45630</v>
      </c>
      <c r="E281" s="1" t="n">
        <v>46317</v>
      </c>
      <c r="F281" t="inlineStr">
        <is>
          <t>VÄSTRA GÖTALANDS LÄN</t>
        </is>
      </c>
      <c r="G281" t="inlineStr">
        <is>
          <t>ALINGSÅS</t>
        </is>
      </c>
      <c r="I281" t="n">
        <v>3.4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33151-2026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46245</v>
      </c>
      <c r="E282" s="1" t="n">
        <v>46317</v>
      </c>
      <c r="F282" t="inlineStr">
        <is>
          <t>VÄSTRA GÖTALANDS LÄN</t>
        </is>
      </c>
      <c r="G282" t="inlineStr">
        <is>
          <t>ALINGSÅS</t>
        </is>
      </c>
      <c r="I282" t="n">
        <v>1.3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9711-2023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44984</v>
      </c>
      <c r="E283" s="1" t="n">
        <v>46317</v>
      </c>
      <c r="F283" t="inlineStr">
        <is>
          <t>VÄSTRA GÖTALANDS LÄN</t>
        </is>
      </c>
      <c r="G283" t="inlineStr">
        <is>
          <t>ALINGSÅS</t>
        </is>
      </c>
      <c r="I283" t="n">
        <v>2.3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33089-2026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46245</v>
      </c>
      <c r="E284" s="1" t="n">
        <v>46317</v>
      </c>
      <c r="F284" t="inlineStr">
        <is>
          <t>VÄSTRA GÖTALANDS LÄN</t>
        </is>
      </c>
      <c r="G284" t="inlineStr">
        <is>
          <t>ALINGSÅS</t>
        </is>
      </c>
      <c r="I284" t="n">
        <v>3.2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11023-2023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44991</v>
      </c>
      <c r="E285" s="1" t="n">
        <v>46317</v>
      </c>
      <c r="F285" t="inlineStr">
        <is>
          <t>VÄSTRA GÖTALANDS LÄN</t>
        </is>
      </c>
      <c r="G285" t="inlineStr">
        <is>
          <t>ALINGSÅS</t>
        </is>
      </c>
      <c r="I285" t="n">
        <v>1.2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39573-2026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46289</v>
      </c>
      <c r="E286" s="1" t="n">
        <v>46317</v>
      </c>
      <c r="F286" t="inlineStr">
        <is>
          <t>VÄSTRA GÖTALANDS LÄN</t>
        </is>
      </c>
      <c r="G286" t="inlineStr">
        <is>
          <t>ALINGSÅS</t>
        </is>
      </c>
      <c r="I286" t="n">
        <v>2.8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33571-2026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46248</v>
      </c>
      <c r="E287" s="1" t="n">
        <v>46317</v>
      </c>
      <c r="F287" t="inlineStr">
        <is>
          <t>VÄSTRA GÖTALANDS LÄN</t>
        </is>
      </c>
      <c r="G287" t="inlineStr">
        <is>
          <t>ALINGSÅS</t>
        </is>
      </c>
      <c r="I287" t="n">
        <v>5.3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33574-2026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46248</v>
      </c>
      <c r="E288" s="1" t="n">
        <v>46317</v>
      </c>
      <c r="F288" t="inlineStr">
        <is>
          <t>VÄSTRA GÖTALANDS LÄN</t>
        </is>
      </c>
      <c r="G288" t="inlineStr">
        <is>
          <t>ALINGSÅS</t>
        </is>
      </c>
      <c r="I288" t="n">
        <v>0.6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39933-2026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46290</v>
      </c>
      <c r="E289" s="1" t="n">
        <v>46317</v>
      </c>
      <c r="F289" t="inlineStr">
        <is>
          <t>VÄSTRA GÖTALANDS LÄN</t>
        </is>
      </c>
      <c r="G289" t="inlineStr">
        <is>
          <t>ALINGSÅS</t>
        </is>
      </c>
      <c r="I289" t="n">
        <v>6.4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39932-2026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46290</v>
      </c>
      <c r="E290" s="1" t="n">
        <v>46317</v>
      </c>
      <c r="F290" t="inlineStr">
        <is>
          <t>VÄSTRA GÖTALANDS LÄN</t>
        </is>
      </c>
      <c r="G290" t="inlineStr">
        <is>
          <t>ALINGSÅS</t>
        </is>
      </c>
      <c r="I290" t="n">
        <v>4.3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50312-2024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45600</v>
      </c>
      <c r="E291" s="1" t="n">
        <v>46317</v>
      </c>
      <c r="F291" t="inlineStr">
        <is>
          <t>VÄSTRA GÖTALANDS LÄN</t>
        </is>
      </c>
      <c r="G291" t="inlineStr">
        <is>
          <t>ALINGSÅS</t>
        </is>
      </c>
      <c r="I291" t="n">
        <v>0.6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39931-2026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46290</v>
      </c>
      <c r="E292" s="1" t="n">
        <v>46317</v>
      </c>
      <c r="F292" t="inlineStr">
        <is>
          <t>VÄSTRA GÖTALANDS LÄN</t>
        </is>
      </c>
      <c r="G292" t="inlineStr">
        <is>
          <t>ALINGSÅS</t>
        </is>
      </c>
      <c r="I292" t="n">
        <v>7.3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40644-2026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46296</v>
      </c>
      <c r="E293" s="1" t="n">
        <v>46317</v>
      </c>
      <c r="F293" t="inlineStr">
        <is>
          <t>VÄSTRA GÖTALANDS LÄN</t>
        </is>
      </c>
      <c r="G293" t="inlineStr">
        <is>
          <t>ALINGSÅS</t>
        </is>
      </c>
      <c r="I293" t="n">
        <v>2.3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11119-2024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45371</v>
      </c>
      <c r="E294" s="1" t="n">
        <v>46317</v>
      </c>
      <c r="F294" t="inlineStr">
        <is>
          <t>VÄSTRA GÖTALANDS LÄN</t>
        </is>
      </c>
      <c r="G294" t="inlineStr">
        <is>
          <t>ALINGSÅS</t>
        </is>
      </c>
      <c r="I294" t="n">
        <v>1.7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40730-2026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46296</v>
      </c>
      <c r="E295" s="1" t="n">
        <v>46317</v>
      </c>
      <c r="F295" t="inlineStr">
        <is>
          <t>VÄSTRA GÖTALANDS LÄN</t>
        </is>
      </c>
      <c r="G295" t="inlineStr">
        <is>
          <t>ALINGSÅS</t>
        </is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19562-2024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45429</v>
      </c>
      <c r="E296" s="1" t="n">
        <v>46317</v>
      </c>
      <c r="F296" t="inlineStr">
        <is>
          <t>VÄSTRA GÖTALANDS LÄN</t>
        </is>
      </c>
      <c r="G296" t="inlineStr">
        <is>
          <t>ALINGSÅS</t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18940-2024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45427</v>
      </c>
      <c r="E297" s="1" t="n">
        <v>46317</v>
      </c>
      <c r="F297" t="inlineStr">
        <is>
          <t>VÄSTRA GÖTALANDS LÄN</t>
        </is>
      </c>
      <c r="G297" t="inlineStr">
        <is>
          <t>ALINGSÅS</t>
        </is>
      </c>
      <c r="I297" t="n">
        <v>2.4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40646-2026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46296</v>
      </c>
      <c r="E298" s="1" t="n">
        <v>46317</v>
      </c>
      <c r="F298" t="inlineStr">
        <is>
          <t>VÄSTRA GÖTALANDS LÄN</t>
        </is>
      </c>
      <c r="G298" t="inlineStr">
        <is>
          <t>ALINGSÅS</t>
        </is>
      </c>
      <c r="I298" t="n">
        <v>0.8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39612-2026</t>
        </is>
      </c>
      <c r="B299" t="inlineStr">
        <is>
          <t>avverkningsanmälan</t>
        </is>
      </c>
      <c r="C299" t="inlineStr">
        <is>
          <t>Avverkning för annat ändamål</t>
        </is>
      </c>
      <c r="D299" s="1" t="n">
        <v>46289</v>
      </c>
      <c r="E299" s="1" t="n">
        <v>46317</v>
      </c>
      <c r="F299" t="inlineStr">
        <is>
          <t>VÄSTRA GÖTALANDS LÄN</t>
        </is>
      </c>
      <c r="G299" t="inlineStr">
        <is>
          <t>ALINGSÅS</t>
        </is>
      </c>
      <c r="I299" t="n">
        <v>5.1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40587-2026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46294</v>
      </c>
      <c r="E300" s="1" t="n">
        <v>46317</v>
      </c>
      <c r="F300" t="inlineStr">
        <is>
          <t>VÄSTRA GÖTALANDS LÄN</t>
        </is>
      </c>
      <c r="G300" t="inlineStr">
        <is>
          <t>ALINGSÅS</t>
        </is>
      </c>
      <c r="I300" t="n">
        <v>4.3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41046-2026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46299</v>
      </c>
      <c r="E301" s="1" t="n">
        <v>46317</v>
      </c>
      <c r="F301" t="inlineStr">
        <is>
          <t>VÄSTRA GÖTALANDS LÄN</t>
        </is>
      </c>
      <c r="G301" t="inlineStr">
        <is>
          <t>ALINGSÅS</t>
        </is>
      </c>
      <c r="I301" t="n">
        <v>2.7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34543-2026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46255</v>
      </c>
      <c r="E302" s="1" t="n">
        <v>46317</v>
      </c>
      <c r="F302" t="inlineStr">
        <is>
          <t>VÄSTRA GÖTALANDS LÄN</t>
        </is>
      </c>
      <c r="G302" t="inlineStr">
        <is>
          <t>ALINGSÅS</t>
        </is>
      </c>
      <c r="I302" t="n">
        <v>0.8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41116-2026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46300</v>
      </c>
      <c r="E303" s="1" t="n">
        <v>46317</v>
      </c>
      <c r="F303" t="inlineStr">
        <is>
          <t>VÄSTRA GÖTALANDS LÄN</t>
        </is>
      </c>
      <c r="G303" t="inlineStr">
        <is>
          <t>ALINGSÅS</t>
        </is>
      </c>
      <c r="I303" t="n">
        <v>4.2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42490-2025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45905</v>
      </c>
      <c r="E304" s="1" t="n">
        <v>46317</v>
      </c>
      <c r="F304" t="inlineStr">
        <is>
          <t>VÄSTRA GÖTALANDS LÄN</t>
        </is>
      </c>
      <c r="G304" t="inlineStr">
        <is>
          <t>ALINGSÅS</t>
        </is>
      </c>
      <c r="I304" t="n">
        <v>2.8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40855-2026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46296</v>
      </c>
      <c r="E305" s="1" t="n">
        <v>46317</v>
      </c>
      <c r="F305" t="inlineStr">
        <is>
          <t>VÄSTRA GÖTALANDS LÄN</t>
        </is>
      </c>
      <c r="G305" t="inlineStr">
        <is>
          <t>ALINGSÅS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33491-2024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45519</v>
      </c>
      <c r="E306" s="1" t="n">
        <v>46317</v>
      </c>
      <c r="F306" t="inlineStr">
        <is>
          <t>VÄSTRA GÖTALANDS LÄN</t>
        </is>
      </c>
      <c r="G306" t="inlineStr">
        <is>
          <t>ALINGSÅS</t>
        </is>
      </c>
      <c r="I306" t="n">
        <v>1.1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41631-2026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46302</v>
      </c>
      <c r="E307" s="1" t="n">
        <v>46317</v>
      </c>
      <c r="F307" t="inlineStr">
        <is>
          <t>VÄSTRA GÖTALANDS LÄN</t>
        </is>
      </c>
      <c r="G307" t="inlineStr">
        <is>
          <t>ALINGSÅS</t>
        </is>
      </c>
      <c r="I307" t="n">
        <v>0.5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41634-2026</t>
        </is>
      </c>
      <c r="B308" t="inlineStr">
        <is>
          <t>avverkningsanmälan</t>
        </is>
      </c>
      <c r="C308" t="inlineStr">
        <is>
          <t>Avverkning för annat ändamål</t>
        </is>
      </c>
      <c r="D308" s="1" t="n">
        <v>46302</v>
      </c>
      <c r="E308" s="1" t="n">
        <v>46317</v>
      </c>
      <c r="F308" t="inlineStr">
        <is>
          <t>VÄSTRA GÖTALANDS LÄN</t>
        </is>
      </c>
      <c r="G308" t="inlineStr">
        <is>
          <t>ALINGSÅS</t>
        </is>
      </c>
      <c r="I308" t="n">
        <v>0.6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35529-2026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46262</v>
      </c>
      <c r="E309" s="1" t="n">
        <v>46317</v>
      </c>
      <c r="F309" t="inlineStr">
        <is>
          <t>VÄSTRA GÖTALANDS LÄN</t>
        </is>
      </c>
      <c r="G309" t="inlineStr">
        <is>
          <t>ALINGSÅS</t>
        </is>
      </c>
      <c r="I309" t="n">
        <v>0.7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42226-2026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46307</v>
      </c>
      <c r="E310" s="1" t="n">
        <v>46317</v>
      </c>
      <c r="F310" t="inlineStr">
        <is>
          <t>VÄSTRA GÖTALANDS LÄN</t>
        </is>
      </c>
      <c r="G310" t="inlineStr">
        <is>
          <t>ALINGSÅS</t>
        </is>
      </c>
      <c r="I310" t="n">
        <v>1.9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36000-2026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46266</v>
      </c>
      <c r="E311" s="1" t="n">
        <v>46317</v>
      </c>
      <c r="F311" t="inlineStr">
        <is>
          <t>VÄSTRA GÖTALANDS LÄN</t>
        </is>
      </c>
      <c r="G311" t="inlineStr">
        <is>
          <t>ALINGSÅS</t>
        </is>
      </c>
      <c r="I311" t="n">
        <v>4.7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43436-2026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46314</v>
      </c>
      <c r="E312" s="1" t="n">
        <v>46317</v>
      </c>
      <c r="F312" t="inlineStr">
        <is>
          <t>VÄSTRA GÖTALANDS LÄN</t>
        </is>
      </c>
      <c r="G312" t="inlineStr">
        <is>
          <t>ALINGSÅS</t>
        </is>
      </c>
      <c r="I312" t="n">
        <v>4.3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43315-2026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46314</v>
      </c>
      <c r="E313" s="1" t="n">
        <v>46317</v>
      </c>
      <c r="F313" t="inlineStr">
        <is>
          <t>VÄSTRA GÖTALANDS LÄN</t>
        </is>
      </c>
      <c r="G313" t="inlineStr">
        <is>
          <t>ALINGSÅS</t>
        </is>
      </c>
      <c r="I313" t="n">
        <v>9.699999999999999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43744-2026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46316</v>
      </c>
      <c r="E314" s="1" t="n">
        <v>46317</v>
      </c>
      <c r="F314" t="inlineStr">
        <is>
          <t>VÄSTRA GÖTALANDS LÄN</t>
        </is>
      </c>
      <c r="G314" t="inlineStr">
        <is>
          <t>ALINGSÅS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43835-2026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46316</v>
      </c>
      <c r="E315" s="1" t="n">
        <v>46317</v>
      </c>
      <c r="F315" t="inlineStr">
        <is>
          <t>VÄSTRA GÖTALANDS LÄN</t>
        </is>
      </c>
      <c r="G315" t="inlineStr">
        <is>
          <t>ALINGSÅS</t>
        </is>
      </c>
      <c r="I315" t="n">
        <v>0.9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1837-2026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46035</v>
      </c>
      <c r="E316" s="1" t="n">
        <v>46317</v>
      </c>
      <c r="F316" t="inlineStr">
        <is>
          <t>VÄSTRA GÖTALANDS LÄN</t>
        </is>
      </c>
      <c r="G316" t="inlineStr">
        <is>
          <t>ALINGSÅS</t>
        </is>
      </c>
      <c r="I316" t="n">
        <v>1.8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3008-2026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46038</v>
      </c>
      <c r="E317" s="1" t="n">
        <v>46317</v>
      </c>
      <c r="F317" t="inlineStr">
        <is>
          <t>VÄSTRA GÖTALANDS LÄN</t>
        </is>
      </c>
      <c r="G317" t="inlineStr">
        <is>
          <t>ALINGSÅS</t>
        </is>
      </c>
      <c r="I317" t="n">
        <v>4.9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S 277-2024</t>
        </is>
      </c>
      <c r="B318" t="inlineStr">
        <is>
          <t>samrådsanmälan</t>
        </is>
      </c>
      <c r="C318" t="inlineStr">
        <is>
          <t>Askåterföring</t>
        </is>
      </c>
      <c r="D318" s="1" t="n">
        <v>45323</v>
      </c>
      <c r="E318" s="1" t="n">
        <v>46317</v>
      </c>
      <c r="F318" t="inlineStr">
        <is>
          <t>VÄSTRA GÖTALANDS LÄN</t>
        </is>
      </c>
      <c r="G318" t="inlineStr">
        <is>
          <t>ALINGSÅS</t>
        </is>
      </c>
      <c r="I318" t="n">
        <v>60.2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S 276-2024</t>
        </is>
      </c>
      <c r="B319" t="inlineStr">
        <is>
          <t>samrådsanmälan</t>
        </is>
      </c>
      <c r="C319" t="inlineStr">
        <is>
          <t>Askåterföring</t>
        </is>
      </c>
      <c r="D319" s="1" t="n">
        <v>45323</v>
      </c>
      <c r="E319" s="1" t="n">
        <v>46317</v>
      </c>
      <c r="F319" t="inlineStr">
        <is>
          <t>VÄSTRA GÖTALANDS LÄN</t>
        </is>
      </c>
      <c r="G319" t="inlineStr">
        <is>
          <t>ALINGSÅS</t>
        </is>
      </c>
      <c r="I319" t="n">
        <v>8.9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S 640-2024</t>
        </is>
      </c>
      <c r="B320" t="inlineStr">
        <is>
          <t>samrådsanmälan</t>
        </is>
      </c>
      <c r="C320" t="inlineStr">
        <is>
          <t>Askåterföring</t>
        </is>
      </c>
      <c r="D320" s="1" t="n">
        <v>45355</v>
      </c>
      <c r="E320" s="1" t="n">
        <v>46317</v>
      </c>
      <c r="F320" t="inlineStr">
        <is>
          <t>VÄSTRA GÖTALANDS LÄN</t>
        </is>
      </c>
      <c r="G320" t="inlineStr">
        <is>
          <t>ALINGSÅS</t>
        </is>
      </c>
      <c r="I320" t="n">
        <v>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S 1657-2024</t>
        </is>
      </c>
      <c r="B321" t="inlineStr">
        <is>
          <t>samrådsanmälan</t>
        </is>
      </c>
      <c r="C321" t="inlineStr">
        <is>
          <t>Annan skogsbruksåtgärd</t>
        </is>
      </c>
      <c r="D321" s="1" t="n">
        <v>45429</v>
      </c>
      <c r="E321" s="1" t="n">
        <v>46317</v>
      </c>
      <c r="F321" t="inlineStr">
        <is>
          <t>VÄSTRA GÖTALANDS LÄN</t>
        </is>
      </c>
      <c r="G321" t="inlineStr">
        <is>
          <t>ALINGSÅS</t>
        </is>
      </c>
      <c r="I321" t="n">
        <v>0.8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S 3691-2024</t>
        </is>
      </c>
      <c r="B322" t="inlineStr">
        <is>
          <t>samrådsanmälan</t>
        </is>
      </c>
      <c r="C322" t="inlineStr">
        <is>
          <t>Annan skogsbruksåtgärd</t>
        </is>
      </c>
      <c r="D322" s="1" t="n">
        <v>45552</v>
      </c>
      <c r="E322" s="1" t="n">
        <v>46317</v>
      </c>
      <c r="F322" t="inlineStr">
        <is>
          <t>VÄSTRA GÖTALANDS LÄN</t>
        </is>
      </c>
      <c r="G322" t="inlineStr">
        <is>
          <t>ALINGSÅS</t>
        </is>
      </c>
      <c r="I322" t="n">
        <v>3.1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S 4831-2022</t>
        </is>
      </c>
      <c r="B323" t="inlineStr">
        <is>
          <t>samrådsanmälan</t>
        </is>
      </c>
      <c r="C323" t="inlineStr">
        <is>
          <t>Askåterföring</t>
        </is>
      </c>
      <c r="D323" s="1" t="n">
        <v>44804</v>
      </c>
      <c r="E323" s="1" t="n">
        <v>46317</v>
      </c>
      <c r="F323" t="inlineStr">
        <is>
          <t>VÄSTRA GÖTALANDS LÄN</t>
        </is>
      </c>
      <c r="G323" t="inlineStr">
        <is>
          <t>ALINGSÅS</t>
        </is>
      </c>
      <c r="I323" t="n">
        <v>5.9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S 278-2024</t>
        </is>
      </c>
      <c r="B324" t="inlineStr">
        <is>
          <t>samrådsanmälan</t>
        </is>
      </c>
      <c r="C324" t="inlineStr">
        <is>
          <t>Askåterföring</t>
        </is>
      </c>
      <c r="D324" s="1" t="n">
        <v>45323</v>
      </c>
      <c r="E324" s="1" t="n">
        <v>46317</v>
      </c>
      <c r="F324" t="inlineStr">
        <is>
          <t>VÄSTRA GÖTALANDS LÄN</t>
        </is>
      </c>
      <c r="G324" t="inlineStr">
        <is>
          <t>ALINGSÅS</t>
        </is>
      </c>
      <c r="I324" t="n">
        <v>6.8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S 639-2024</t>
        </is>
      </c>
      <c r="B325" t="inlineStr">
        <is>
          <t>samrådsanmälan</t>
        </is>
      </c>
      <c r="C325" t="inlineStr">
        <is>
          <t>Askåterföring</t>
        </is>
      </c>
      <c r="D325" s="1" t="n">
        <v>45355</v>
      </c>
      <c r="E325" s="1" t="n">
        <v>46317</v>
      </c>
      <c r="F325" t="inlineStr">
        <is>
          <t>VÄSTRA GÖTALANDS LÄN</t>
        </is>
      </c>
      <c r="G325" t="inlineStr">
        <is>
          <t>ALINGSÅS</t>
        </is>
      </c>
      <c r="I325" t="n">
        <v>4.6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S 1784-2025</t>
        </is>
      </c>
      <c r="B326" t="inlineStr">
        <is>
          <t>samrådsanmälan</t>
        </is>
      </c>
      <c r="C326" t="inlineStr">
        <is>
          <t>Annan skogsbruksåtgärd</t>
        </is>
      </c>
      <c r="D326" s="1" t="n">
        <v>45813</v>
      </c>
      <c r="E326" s="1" t="n">
        <v>46317</v>
      </c>
      <c r="F326" t="inlineStr">
        <is>
          <t>VÄSTRA GÖTALANDS LÄN</t>
        </is>
      </c>
      <c r="G326" t="inlineStr">
        <is>
          <t>ALINGSÅS</t>
        </is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>
      <c r="A327" t="inlineStr">
        <is>
          <t>S 1043-2023</t>
        </is>
      </c>
      <c r="B327" t="inlineStr">
        <is>
          <t>samrådsanmälan</t>
        </is>
      </c>
      <c r="C327" t="inlineStr">
        <is>
          <t>Annan skogsbruksåtgärd</t>
        </is>
      </c>
      <c r="D327" s="1" t="n">
        <v>45010</v>
      </c>
      <c r="E327" s="1" t="n">
        <v>46317</v>
      </c>
      <c r="F327" t="inlineStr">
        <is>
          <t>VÄSTRA GÖTALANDS LÄN</t>
        </is>
      </c>
      <c r="G327" t="inlineStr">
        <is>
          <t>ALINGSÅS</t>
        </is>
      </c>
      <c r="I327" t="n">
        <v>5.7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2026-10-22T01:55:17Z</dcterms:created>
  <dcterms:modified xmlns:dcterms="http://purl.org/dc/terms/" xmlns:xsi="http://www.w3.org/2001/XMLSchema-instance" xsi:type="dcterms:W3CDTF">2026-10-22T01:55:17Z</dcterms:modified>
</cp:coreProperties>
</file>