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t="n">
        <v>6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46224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46224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46224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46224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46224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46224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51909-2024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45607</v>
      </c>
      <c r="E19" s="1" t="n">
        <v>46224</v>
      </c>
      <c r="F19" t="inlineStr">
        <is>
          <t>VÄSTRA GÖTALANDS LÄN</t>
        </is>
      </c>
      <c r="G19" t="inlineStr">
        <is>
          <t>ALINGSÅS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Strandlummer
Större träfjäril</t>
        </is>
      </c>
      <c r="W19">
        <f>HYPERLINK("https://klasma.github.io/Logging_1489/artfynd/A 51909-2024 artfynd.xlsx", "A 51909-2024")</f>
        <v/>
      </c>
      <c r="X19">
        <f>HYPERLINK("https://klasma.github.io/Logging_1489/kartor/A 51909-2024 karta.png", "A 51909-2024")</f>
        <v/>
      </c>
      <c r="Y19">
        <f>HYPERLINK("https://klasma.github.io/Logging_1489/kartor_geotiff/A 51909-2024 georefererad karta.tif", "A 51909-2024")</f>
        <v/>
      </c>
      <c r="AA19">
        <f>HYPERLINK("https://klasma.github.io/Logging_1489/klagomål/A 51909-2024 FSC-klagomål.docx", "A 51909-2024")</f>
        <v/>
      </c>
      <c r="AB19">
        <f>HYPERLINK("https://klasma.github.io/Logging_1489/klagomålsmail/A 51909-2024 FSC-klagomål mail.docx", "A 51909-2024")</f>
        <v/>
      </c>
      <c r="AC19">
        <f>HYPERLINK("https://klasma.github.io/Logging_1489/tillsyn/A 51909-2024 tillsynsbegäran.docx", "A 51909-2024")</f>
        <v/>
      </c>
      <c r="AD19">
        <f>HYPERLINK("https://klasma.github.io/Logging_1489/tillsynsmail/A 51909-2024 tillsynsbegäran mail.docx", "A 51909-2024")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46224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46224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46224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46224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39240-2025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46224</v>
      </c>
      <c r="F24" t="inlineStr">
        <is>
          <t>VÄSTRA GÖTALANDS LÄN</t>
        </is>
      </c>
      <c r="G24" t="inlineStr">
        <is>
          <t>ALINGSÅS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Knärot</t>
        </is>
      </c>
      <c r="W24">
        <f>HYPERLINK("https://klasma.github.io/Logging_1489/artfynd/A 39240-2025 artfynd.xlsx", "A 39240-2025")</f>
        <v/>
      </c>
      <c r="X24">
        <f>HYPERLINK("https://klasma.github.io/Logging_1489/kartor/A 39240-2025 karta.png", "A 39240-2025")</f>
        <v/>
      </c>
      <c r="Y24">
        <f>HYPERLINK("https://klasma.github.io/Logging_1489/kartor_geotiff/A 39240-2025 georefererad karta.tif", "A 39240-2025")</f>
        <v/>
      </c>
      <c r="Z24">
        <f>HYPERLINK("https://klasma.github.io/Logging_1489/knärot/A 39240-2025 karta knärot.png", "A 39240-2025")</f>
        <v/>
      </c>
      <c r="AA24">
        <f>HYPERLINK("https://klasma.github.io/Logging_1489/klagomål/A 39240-2025 FSC-klagomål.docx", "A 39240-2025")</f>
        <v/>
      </c>
      <c r="AB24">
        <f>HYPERLINK("https://klasma.github.io/Logging_1489/klagomålsmail/A 39240-2025 FSC-klagomål mail.docx", "A 39240-2025")</f>
        <v/>
      </c>
      <c r="AC24">
        <f>HYPERLINK("https://klasma.github.io/Logging_1489/tillsyn/A 39240-2025 tillsynsbegäran.docx", "A 39240-2025")</f>
        <v/>
      </c>
      <c r="AD24">
        <f>HYPERLINK("https://klasma.github.io/Logging_1489/tillsynsmail/A 39240-2025 tillsynsbegäran mail.docx", "A 39240-2025")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46224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46224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HYPERLINK("https://klasma.github.io/Logging_1489/artfynd/A 59881-2024 artfynd.xlsx", "A 59881-2024")</f>
        <v/>
      </c>
      <c r="X26">
        <f>HYPERLINK("https://klasma.github.io/Logging_1489/kartor/A 59881-2024 karta.png", "A 59881-2024")</f>
        <v/>
      </c>
      <c r="Y26">
        <f>HYPERLINK("https://klasma.github.io/Logging_1489/kartor_geotiff/A 59881-2024 georefererad karta.tif", "A 59881-2024")</f>
        <v/>
      </c>
      <c r="AA26">
        <f>HYPERLINK("https://klasma.github.io/Logging_1489/klagomål/A 59881-2024 FSC-klagomål.docx", "A 59881-2024")</f>
        <v/>
      </c>
      <c r="AB26">
        <f>HYPERLINK("https://klasma.github.io/Logging_1489/klagomålsmail/A 59881-2024 FSC-klagomål mail.docx", "A 59881-2024")</f>
        <v/>
      </c>
      <c r="AC26">
        <f>HYPERLINK("https://klasma.github.io/Logging_1489/tillsyn/A 59881-2024 tillsynsbegäran.docx", "A 59881-2024")</f>
        <v/>
      </c>
      <c r="AD26">
        <f>HYPERLINK("https://klasma.github.io/Logging_1489/tillsynsmail/A 59881-2024 tillsynsbegäran mail.docx", "A 59881-2024")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46224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46224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46224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46224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5383-2024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46224</v>
      </c>
      <c r="F31" t="inlineStr">
        <is>
          <t>VÄSTRA GÖTALANDS LÄN</t>
        </is>
      </c>
      <c r="G31" t="inlineStr">
        <is>
          <t>ALINGSÅS</t>
        </is>
      </c>
      <c r="H31" t="inlineStr">
        <is>
          <t>Övriga Aktiebolag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6</v>
      </c>
      <c r="U31" t="n">
        <v>0</v>
      </c>
      <c r="V31" s="2" t="inlineStr">
        <is>
          <t>Ask</t>
        </is>
      </c>
      <c r="W31">
        <f>HYPERLINK("https://klasma.github.io/Logging_1489/artfynd/A 5383-2024 artfynd.xlsx", "A 5383-2024")</f>
        <v/>
      </c>
      <c r="X31">
        <f>HYPERLINK("https://klasma.github.io/Logging_1489/kartor/A 5383-2024 karta.png", "A 5383-2024")</f>
        <v/>
      </c>
      <c r="Y31">
        <f>HYPERLINK("https://klasma.github.io/Logging_1489/kartor_geotiff/A 5383-2024 georefererad karta.tif", "A 5383-2024")</f>
        <v/>
      </c>
      <c r="AA31">
        <f>HYPERLINK("https://klasma.github.io/Logging_1489/klagomål/A 5383-2024 FSC-klagomål.docx", "A 5383-2024")</f>
        <v/>
      </c>
      <c r="AB31">
        <f>HYPERLINK("https://klasma.github.io/Logging_1489/klagomålsmail/A 5383-2024 FSC-klagomål mail.docx", "A 5383-2024")</f>
        <v/>
      </c>
      <c r="AC31">
        <f>HYPERLINK("https://klasma.github.io/Logging_1489/tillsyn/A 5383-2024 tillsynsbegäran.docx", "A 5383-2024")</f>
        <v/>
      </c>
      <c r="AD31">
        <f>HYPERLINK("https://klasma.github.io/Logging_1489/tillsynsmail/A 5383-2024 tillsynsbegäran mail.docx", "A 5383-2024")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46224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51927-2024 artfynd.xlsx", "A 51927-2024")</f>
        <v/>
      </c>
      <c r="X32">
        <f>HYPERLINK("https://klasma.github.io/Logging_1489/kartor/A 51927-2024 karta.png", "A 51927-2024")</f>
        <v/>
      </c>
      <c r="Y32">
        <f>HYPERLINK("https://klasma.github.io/Logging_1489/kartor_geotiff/A 51927-2024 georefererad karta.tif", "A 51927-2024")</f>
        <v/>
      </c>
      <c r="AA32">
        <f>HYPERLINK("https://klasma.github.io/Logging_1489/klagomål/A 51927-2024 FSC-klagomål.docx", "A 51927-2024")</f>
        <v/>
      </c>
      <c r="AB32">
        <f>HYPERLINK("https://klasma.github.io/Logging_1489/klagomålsmail/A 51927-2024 FSC-klagomål mail.docx", "A 51927-2024")</f>
        <v/>
      </c>
      <c r="AC32">
        <f>HYPERLINK("https://klasma.github.io/Logging_1489/tillsyn/A 51927-2024 tillsynsbegäran.docx", "A 51927-2024")</f>
        <v/>
      </c>
      <c r="AD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46224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46224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46224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46224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46224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46224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46224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46224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46224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46224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46224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46224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46224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46224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47187-2021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44447</v>
      </c>
      <c r="E47" s="1" t="n">
        <v>46224</v>
      </c>
      <c r="F47" t="inlineStr">
        <is>
          <t>VÄSTRA GÖTALANDS LÄN</t>
        </is>
      </c>
      <c r="G47" t="inlineStr">
        <is>
          <t>ALINGSÅS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46224</v>
      </c>
      <c r="F48" t="inlineStr">
        <is>
          <t>VÄSTRA GÖTALANDS LÄN</t>
        </is>
      </c>
      <c r="G48" t="inlineStr">
        <is>
          <t>ALINGSÅS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46224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46224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46224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46224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46224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46224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46224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46224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46224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46224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46224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46224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46224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46224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46224</v>
      </c>
      <c r="F69" t="inlineStr">
        <is>
          <t>VÄSTRA GÖTALANDS LÄN</t>
        </is>
      </c>
      <c r="G69" t="inlineStr">
        <is>
          <t>ALINGSÅS</t>
        </is>
      </c>
      <c r="H69" t="inlineStr">
        <is>
          <t>Kyrkan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46224</v>
      </c>
      <c r="F70" t="inlineStr">
        <is>
          <t>VÄSTRA GÖTALANDS LÄN</t>
        </is>
      </c>
      <c r="G70" t="inlineStr">
        <is>
          <t>ALINGSÅS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46224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46224</v>
      </c>
      <c r="F72" t="inlineStr">
        <is>
          <t>VÄSTRA GÖTALANDS LÄN</t>
        </is>
      </c>
      <c r="G72" t="inlineStr">
        <is>
          <t>ALINGSÅS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45660</v>
      </c>
      <c r="E73" s="1" t="n">
        <v>46224</v>
      </c>
      <c r="F73" t="inlineStr">
        <is>
          <t>VÄSTRA GÖTALANDS LÄN</t>
        </is>
      </c>
      <c r="G73" t="inlineStr">
        <is>
          <t>ALINGSÅS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46224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46224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46224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46224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46224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45782</v>
      </c>
      <c r="E79" s="1" t="n">
        <v>46224</v>
      </c>
      <c r="F79" t="inlineStr">
        <is>
          <t>VÄSTRA GÖTALANDS LÄN</t>
        </is>
      </c>
      <c r="G79" t="inlineStr">
        <is>
          <t>ALINGSÅS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46224</v>
      </c>
      <c r="F80" t="inlineStr">
        <is>
          <t>VÄSTRA GÖTALANDS LÄN</t>
        </is>
      </c>
      <c r="G80" t="inlineStr">
        <is>
          <t>ALINGSÅS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46224</v>
      </c>
      <c r="F81" t="inlineStr">
        <is>
          <t>VÄSTRA GÖTALANDS LÄN</t>
        </is>
      </c>
      <c r="G81" t="inlineStr">
        <is>
          <t>ALINGSÅS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46224</v>
      </c>
      <c r="F82" t="inlineStr">
        <is>
          <t>VÄSTRA GÖTALANDS LÄN</t>
        </is>
      </c>
      <c r="G82" t="inlineStr">
        <is>
          <t>ALINGSÅS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46224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46224</v>
      </c>
      <c r="F84" t="inlineStr">
        <is>
          <t>VÄSTRA GÖTALANDS LÄN</t>
        </is>
      </c>
      <c r="G84" t="inlineStr">
        <is>
          <t>ALINGSÅS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45465</v>
      </c>
      <c r="E85" s="1" t="n">
        <v>46224</v>
      </c>
      <c r="F85" t="inlineStr">
        <is>
          <t>VÄSTRA GÖTALANDS LÄN</t>
        </is>
      </c>
      <c r="G85" t="inlineStr">
        <is>
          <t>ALINGSÅS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46224</v>
      </c>
      <c r="F86" t="inlineStr">
        <is>
          <t>VÄSTRA GÖTALANDS LÄN</t>
        </is>
      </c>
      <c r="G86" t="inlineStr">
        <is>
          <t>ALINGSÅS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46224</v>
      </c>
      <c r="F87" t="inlineStr">
        <is>
          <t>VÄSTRA GÖTALANDS LÄN</t>
        </is>
      </c>
      <c r="G87" t="inlineStr">
        <is>
          <t>ALINGSÅS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32026-2024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46224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45258</v>
      </c>
      <c r="E89" s="1" t="n">
        <v>46224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46224</v>
      </c>
      <c r="F90" t="inlineStr">
        <is>
          <t>VÄSTRA GÖTALANDS LÄN</t>
        </is>
      </c>
      <c r="G90" t="inlineStr">
        <is>
          <t>ALINGSÅS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46224</v>
      </c>
      <c r="F91" t="inlineStr">
        <is>
          <t>VÄSTRA GÖTALANDS LÄN</t>
        </is>
      </c>
      <c r="G91" t="inlineStr">
        <is>
          <t>ALINGSÅS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25562-2025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46224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46224</v>
      </c>
      <c r="F93" t="inlineStr">
        <is>
          <t>VÄSTRA GÖTALANDS LÄN</t>
        </is>
      </c>
      <c r="G93" t="inlineStr">
        <is>
          <t>ALINGSÅS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46224</v>
      </c>
      <c r="F94" t="inlineStr">
        <is>
          <t>VÄSTRA GÖTALANDS LÄN</t>
        </is>
      </c>
      <c r="G94" t="inlineStr">
        <is>
          <t>ALINGSÅS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46224</v>
      </c>
      <c r="F95" t="inlineStr">
        <is>
          <t>VÄSTRA GÖTALANDS LÄN</t>
        </is>
      </c>
      <c r="G95" t="inlineStr">
        <is>
          <t>ALINGSÅS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46224</v>
      </c>
      <c r="F96" t="inlineStr">
        <is>
          <t>VÄSTRA GÖTALANDS LÄN</t>
        </is>
      </c>
      <c r="G96" t="inlineStr">
        <is>
          <t>ALINGSÅS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45804</v>
      </c>
      <c r="E97" s="1" t="n">
        <v>46224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46224</v>
      </c>
      <c r="F98" t="inlineStr">
        <is>
          <t>VÄSTRA GÖTALANDS LÄN</t>
        </is>
      </c>
      <c r="G98" t="inlineStr">
        <is>
          <t>ALINGSÅS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46224</v>
      </c>
      <c r="F99" t="inlineStr">
        <is>
          <t>VÄSTRA GÖTALANDS LÄN</t>
        </is>
      </c>
      <c r="G99" t="inlineStr">
        <is>
          <t>ALINGSÅS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46224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46224</v>
      </c>
      <c r="F101" t="inlineStr">
        <is>
          <t>VÄSTRA GÖTALANDS LÄN</t>
        </is>
      </c>
      <c r="G101" t="inlineStr">
        <is>
          <t>ALINGSÅS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54579-2024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45617</v>
      </c>
      <c r="E102" s="1" t="n">
        <v>46224</v>
      </c>
      <c r="F102" t="inlineStr">
        <is>
          <t>VÄSTRA GÖTALANDS LÄN</t>
        </is>
      </c>
      <c r="G102" t="inlineStr">
        <is>
          <t>ALINGSÅS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46224</v>
      </c>
      <c r="F103" t="inlineStr">
        <is>
          <t>VÄSTRA GÖTALANDS LÄN</t>
        </is>
      </c>
      <c r="G103" t="inlineStr">
        <is>
          <t>ALINGSÅS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46224</v>
      </c>
      <c r="F104" t="inlineStr">
        <is>
          <t>VÄSTRA GÖTALANDS LÄN</t>
        </is>
      </c>
      <c r="G104" t="inlineStr">
        <is>
          <t>ALINGSÅS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45679</v>
      </c>
      <c r="E105" s="1" t="n">
        <v>46224</v>
      </c>
      <c r="F105" t="inlineStr">
        <is>
          <t>VÄSTRA GÖTALANDS LÄN</t>
        </is>
      </c>
      <c r="G105" t="inlineStr">
        <is>
          <t>ALINGSÅS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12968-2025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46224</v>
      </c>
      <c r="F106" t="inlineStr">
        <is>
          <t>VÄSTRA GÖTALANDS LÄN</t>
        </is>
      </c>
      <c r="G106" t="inlineStr">
        <is>
          <t>ALINGSÅS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46224</v>
      </c>
      <c r="F107" t="inlineStr">
        <is>
          <t>VÄSTRA GÖTALANDS LÄN</t>
        </is>
      </c>
      <c r="G107" t="inlineStr">
        <is>
          <t>ALINGSÅS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46224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42710-2025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45908</v>
      </c>
      <c r="E109" s="1" t="n">
        <v>46224</v>
      </c>
      <c r="F109" t="inlineStr">
        <is>
          <t>VÄSTRA GÖTALANDS LÄN</t>
        </is>
      </c>
      <c r="G109" t="inlineStr">
        <is>
          <t>ALINGSÅS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45908</v>
      </c>
      <c r="E110" s="1" t="n">
        <v>46224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46224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46224</v>
      </c>
      <c r="F112" t="inlineStr">
        <is>
          <t>VÄSTRA GÖTALANDS LÄN</t>
        </is>
      </c>
      <c r="G112" t="inlineStr">
        <is>
          <t>ALINGSÅS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46224</v>
      </c>
      <c r="F113" t="inlineStr">
        <is>
          <t>VÄSTRA GÖTALANDS LÄN</t>
        </is>
      </c>
      <c r="G113" t="inlineStr">
        <is>
          <t>ALINGSÅS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46224</v>
      </c>
      <c r="F114" t="inlineStr">
        <is>
          <t>VÄSTRA GÖTALANDS LÄN</t>
        </is>
      </c>
      <c r="G114" t="inlineStr">
        <is>
          <t>ALINGSÅS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46224</v>
      </c>
      <c r="F115" t="inlineStr">
        <is>
          <t>VÄSTRA GÖTALANDS LÄN</t>
        </is>
      </c>
      <c r="G115" t="inlineStr">
        <is>
          <t>ALINGSÅS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46014</v>
      </c>
      <c r="E116" s="1" t="n">
        <v>46224</v>
      </c>
      <c r="F116" t="inlineStr">
        <is>
          <t>VÄSTRA GÖTALANDS LÄN</t>
        </is>
      </c>
      <c r="G116" t="inlineStr">
        <is>
          <t>ALINGSÅS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46014</v>
      </c>
      <c r="E117" s="1" t="n">
        <v>46224</v>
      </c>
      <c r="F117" t="inlineStr">
        <is>
          <t>VÄSTRA GÖTALANDS LÄN</t>
        </is>
      </c>
      <c r="G117" t="inlineStr">
        <is>
          <t>ALINGSÅS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46224</v>
      </c>
      <c r="F118" t="inlineStr">
        <is>
          <t>VÄSTRA GÖTALANDS LÄN</t>
        </is>
      </c>
      <c r="G118" t="inlineStr">
        <is>
          <t>ALINGSÅS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46224</v>
      </c>
      <c r="F119" t="inlineStr">
        <is>
          <t>VÄSTRA GÖTALANDS LÄN</t>
        </is>
      </c>
      <c r="G119" t="inlineStr">
        <is>
          <t>ALINGSÅS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46224</v>
      </c>
      <c r="F120" t="inlineStr">
        <is>
          <t>VÄSTRA GÖTALANDS LÄN</t>
        </is>
      </c>
      <c r="G120" t="inlineStr">
        <is>
          <t>ALINGSÅS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46224</v>
      </c>
      <c r="F121" t="inlineStr">
        <is>
          <t>VÄSTRA GÖTALANDS LÄN</t>
        </is>
      </c>
      <c r="G121" t="inlineStr">
        <is>
          <t>ALINGSÅS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46224</v>
      </c>
      <c r="F122" t="inlineStr">
        <is>
          <t>VÄSTRA GÖTALANDS LÄN</t>
        </is>
      </c>
      <c r="G122" t="inlineStr">
        <is>
          <t>ALINGSÅS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11024-2023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46224</v>
      </c>
      <c r="F123" t="inlineStr">
        <is>
          <t>VÄSTRA GÖTALANDS LÄN</t>
        </is>
      </c>
      <c r="G123" t="inlineStr">
        <is>
          <t>ALINGSÅS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46224</v>
      </c>
      <c r="F124" t="inlineStr">
        <is>
          <t>VÄSTRA GÖTALANDS LÄN</t>
        </is>
      </c>
      <c r="G124" t="inlineStr">
        <is>
          <t>ALINGSÅS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46224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46224</v>
      </c>
      <c r="F126" t="inlineStr">
        <is>
          <t>VÄSTRA GÖTALANDS LÄN</t>
        </is>
      </c>
      <c r="G126" t="inlineStr">
        <is>
          <t>ALINGSÅS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46224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Kyrkan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46224</v>
      </c>
      <c r="F128" t="inlineStr">
        <is>
          <t>VÄSTRA GÖTALANDS LÄN</t>
        </is>
      </c>
      <c r="G128" t="inlineStr">
        <is>
          <t>ALINGSÅS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46224</v>
      </c>
      <c r="F129" t="inlineStr">
        <is>
          <t>VÄSTRA GÖTALANDS LÄN</t>
        </is>
      </c>
      <c r="G129" t="inlineStr">
        <is>
          <t>ALINGSÅS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46224</v>
      </c>
      <c r="F130" t="inlineStr">
        <is>
          <t>VÄSTRA GÖTALANDS LÄN</t>
        </is>
      </c>
      <c r="G130" t="inlineStr">
        <is>
          <t>ALINGSÅS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46224</v>
      </c>
      <c r="F131" t="inlineStr">
        <is>
          <t>VÄSTRA GÖTALANDS LÄN</t>
        </is>
      </c>
      <c r="G131" t="inlineStr">
        <is>
          <t>ALINGSÅS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45716</v>
      </c>
      <c r="E132" s="1" t="n">
        <v>46224</v>
      </c>
      <c r="F132" t="inlineStr">
        <is>
          <t>VÄSTRA GÖTALANDS LÄN</t>
        </is>
      </c>
      <c r="G132" t="inlineStr">
        <is>
          <t>ALINGSÅS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46224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46224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58558-2021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46224</v>
      </c>
      <c r="F135" t="inlineStr">
        <is>
          <t>VÄSTRA GÖTALANDS LÄN</t>
        </is>
      </c>
      <c r="G135" t="inlineStr">
        <is>
          <t>ALINGSÅS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64194-2023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46224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46224</v>
      </c>
      <c r="F137" t="inlineStr">
        <is>
          <t>VÄSTRA GÖTALANDS LÄN</t>
        </is>
      </c>
      <c r="G137" t="inlineStr">
        <is>
          <t>ALINGSÅS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16612-2022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44672</v>
      </c>
      <c r="E138" s="1" t="n">
        <v>46224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64070-2023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46224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46224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46224</v>
      </c>
      <c r="F141" t="inlineStr">
        <is>
          <t>VÄSTRA GÖTALANDS LÄN</t>
        </is>
      </c>
      <c r="G141" t="inlineStr">
        <is>
          <t>ALINGSÅS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46224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46224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45687</v>
      </c>
      <c r="E144" s="1" t="n">
        <v>46224</v>
      </c>
      <c r="F144" t="inlineStr">
        <is>
          <t>VÄSTRA GÖTALANDS LÄN</t>
        </is>
      </c>
      <c r="G144" t="inlineStr">
        <is>
          <t>ALINGSÅS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46224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60904-2023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46224</v>
      </c>
      <c r="F146" t="inlineStr">
        <is>
          <t>VÄSTRA GÖTALANDS LÄN</t>
        </is>
      </c>
      <c r="G146" t="inlineStr">
        <is>
          <t>ALINGSÅS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46224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46224</v>
      </c>
      <c r="F148" t="inlineStr">
        <is>
          <t>VÄSTRA GÖTALANDS LÄN</t>
        </is>
      </c>
      <c r="G148" t="inlineStr">
        <is>
          <t>ALINGSÅS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19553-2024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45429</v>
      </c>
      <c r="E149" s="1" t="n">
        <v>46224</v>
      </c>
      <c r="F149" t="inlineStr">
        <is>
          <t>VÄSTRA GÖTALANDS LÄN</t>
        </is>
      </c>
      <c r="G149" t="inlineStr">
        <is>
          <t>ALINGSÅS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46224</v>
      </c>
      <c r="F150" t="inlineStr">
        <is>
          <t>VÄSTRA GÖTALANDS LÄN</t>
        </is>
      </c>
      <c r="G150" t="inlineStr">
        <is>
          <t>ALINGSÅS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45850</v>
      </c>
      <c r="E151" s="1" t="n">
        <v>46224</v>
      </c>
      <c r="F151" t="inlineStr">
        <is>
          <t>VÄSTRA GÖTALANDS LÄN</t>
        </is>
      </c>
      <c r="G151" t="inlineStr">
        <is>
          <t>ALINGSÅS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46224</v>
      </c>
      <c r="F152" t="inlineStr">
        <is>
          <t>VÄSTRA GÖTALANDS LÄN</t>
        </is>
      </c>
      <c r="G152" t="inlineStr">
        <is>
          <t>ALINGSÅS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35004-2025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45850</v>
      </c>
      <c r="E153" s="1" t="n">
        <v>46224</v>
      </c>
      <c r="F153" t="inlineStr">
        <is>
          <t>VÄSTRA GÖTALANDS LÄN</t>
        </is>
      </c>
      <c r="G153" t="inlineStr">
        <is>
          <t>ALINGSÅS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46224</v>
      </c>
      <c r="F154" t="inlineStr">
        <is>
          <t>VÄSTRA GÖTALANDS LÄN</t>
        </is>
      </c>
      <c r="G154" t="inlineStr">
        <is>
          <t>ALINGSÅS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63143-2021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46224</v>
      </c>
      <c r="F155" t="inlineStr">
        <is>
          <t>VÄSTRA GÖTALANDS LÄN</t>
        </is>
      </c>
      <c r="G155" t="inlineStr">
        <is>
          <t>ALINGSÅS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46224</v>
      </c>
      <c r="F156" t="inlineStr">
        <is>
          <t>VÄSTRA GÖTALANDS LÄN</t>
        </is>
      </c>
      <c r="G156" t="inlineStr">
        <is>
          <t>ALINGSÅS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44727</v>
      </c>
      <c r="E157" s="1" t="n">
        <v>46224</v>
      </c>
      <c r="F157" t="inlineStr">
        <is>
          <t>VÄSTRA GÖTALANDS LÄN</t>
        </is>
      </c>
      <c r="G157" t="inlineStr">
        <is>
          <t>ALINGSÅS</t>
        </is>
      </c>
      <c r="I157" t="n">
        <v>10.4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46224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46224</v>
      </c>
      <c r="F159" t="inlineStr">
        <is>
          <t>VÄSTRA GÖTALANDS LÄN</t>
        </is>
      </c>
      <c r="G159" t="inlineStr">
        <is>
          <t>ALINGSÅS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32286-2024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45512</v>
      </c>
      <c r="E160" s="1" t="n">
        <v>46224</v>
      </c>
      <c r="F160" t="inlineStr">
        <is>
          <t>VÄSTRA GÖTALANDS LÄN</t>
        </is>
      </c>
      <c r="G160" t="inlineStr">
        <is>
          <t>ALINGSÅS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46224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46224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46224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45966</v>
      </c>
      <c r="E164" s="1" t="n">
        <v>46224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46224</v>
      </c>
      <c r="F165" t="inlineStr">
        <is>
          <t>VÄSTRA GÖTALANDS LÄN</t>
        </is>
      </c>
      <c r="G165" t="inlineStr">
        <is>
          <t>ALINGSÅS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55294-2025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45969</v>
      </c>
      <c r="E166" s="1" t="n">
        <v>46224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46224</v>
      </c>
      <c r="F167" t="inlineStr">
        <is>
          <t>VÄSTRA GÖTALANDS LÄN</t>
        </is>
      </c>
      <c r="G167" t="inlineStr">
        <is>
          <t>ALINGSÅS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46224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46224</v>
      </c>
      <c r="F169" t="inlineStr">
        <is>
          <t>VÄSTRA GÖTALANDS LÄN</t>
        </is>
      </c>
      <c r="G169" t="inlineStr">
        <is>
          <t>ALINGSÅS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45974</v>
      </c>
      <c r="E170" s="1" t="n">
        <v>46224</v>
      </c>
      <c r="F170" t="inlineStr">
        <is>
          <t>VÄSTRA GÖTALANDS LÄN</t>
        </is>
      </c>
      <c r="G170" t="inlineStr">
        <is>
          <t>ALINGSÅS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46224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46224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46224</v>
      </c>
      <c r="F173" t="inlineStr">
        <is>
          <t>VÄSTRA GÖTALANDS LÄN</t>
        </is>
      </c>
      <c r="G173" t="inlineStr">
        <is>
          <t>ALINGSÅS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46224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44964</v>
      </c>
      <c r="E175" s="1" t="n">
        <v>46224</v>
      </c>
      <c r="F175" t="inlineStr">
        <is>
          <t>VÄSTRA GÖTALANDS LÄN</t>
        </is>
      </c>
      <c r="G175" t="inlineStr">
        <is>
          <t>ALINGSÅS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46224</v>
      </c>
      <c r="F176" t="inlineStr">
        <is>
          <t>VÄSTRA GÖTALANDS LÄN</t>
        </is>
      </c>
      <c r="G176" t="inlineStr">
        <is>
          <t>ALINGSÅS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46224</v>
      </c>
      <c r="F177" t="inlineStr">
        <is>
          <t>VÄSTRA GÖTALANDS LÄN</t>
        </is>
      </c>
      <c r="G177" t="inlineStr">
        <is>
          <t>ALINGSÅS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45468</v>
      </c>
      <c r="E178" s="1" t="n">
        <v>46224</v>
      </c>
      <c r="F178" t="inlineStr">
        <is>
          <t>VÄSTRA GÖTALANDS LÄN</t>
        </is>
      </c>
      <c r="G178" t="inlineStr">
        <is>
          <t>ALINGSÅS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46224</v>
      </c>
      <c r="F179" t="inlineStr">
        <is>
          <t>VÄSTRA GÖTALANDS LÄN</t>
        </is>
      </c>
      <c r="G179" t="inlineStr">
        <is>
          <t>ALINGSÅS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46224</v>
      </c>
      <c r="F180" t="inlineStr">
        <is>
          <t>VÄSTRA GÖTALANDS LÄN</t>
        </is>
      </c>
      <c r="G180" t="inlineStr">
        <is>
          <t>ALINGSÅS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46224</v>
      </c>
      <c r="F181" t="inlineStr">
        <is>
          <t>VÄSTRA GÖTALANDS LÄN</t>
        </is>
      </c>
      <c r="G181" t="inlineStr">
        <is>
          <t>ALINGSÅS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46224</v>
      </c>
      <c r="F182" t="inlineStr">
        <is>
          <t>VÄSTRA GÖTALANDS LÄN</t>
        </is>
      </c>
      <c r="G182" t="inlineStr">
        <is>
          <t>ALINGSÅS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46224</v>
      </c>
      <c r="F183" t="inlineStr">
        <is>
          <t>VÄSTRA GÖTALANDS LÄN</t>
        </is>
      </c>
      <c r="G183" t="inlineStr">
        <is>
          <t>ALINGSÅS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45986</v>
      </c>
      <c r="E184" s="1" t="n">
        <v>46224</v>
      </c>
      <c r="F184" t="inlineStr">
        <is>
          <t>VÄSTRA GÖTALANDS LÄN</t>
        </is>
      </c>
      <c r="G184" t="inlineStr">
        <is>
          <t>ALINGSÅS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22186-2025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45785</v>
      </c>
      <c r="E185" s="1" t="n">
        <v>46224</v>
      </c>
      <c r="F185" t="inlineStr">
        <is>
          <t>VÄSTRA GÖTALANDS LÄN</t>
        </is>
      </c>
      <c r="G185" t="inlineStr">
        <is>
          <t>ALINGSÅS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46224</v>
      </c>
      <c r="F186" t="inlineStr">
        <is>
          <t>VÄSTRA GÖTALANDS LÄN</t>
        </is>
      </c>
      <c r="G186" t="inlineStr">
        <is>
          <t>ALINGSÅS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46224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46224</v>
      </c>
      <c r="F188" t="inlineStr">
        <is>
          <t>VÄSTRA GÖTALANDS LÄN</t>
        </is>
      </c>
      <c r="G188" t="inlineStr">
        <is>
          <t>ALINGSÅS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45465</v>
      </c>
      <c r="E189" s="1" t="n">
        <v>46224</v>
      </c>
      <c r="F189" t="inlineStr">
        <is>
          <t>VÄSTRA GÖTALANDS LÄN</t>
        </is>
      </c>
      <c r="G189" t="inlineStr">
        <is>
          <t>ALINGSÅS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45465</v>
      </c>
      <c r="E190" s="1" t="n">
        <v>46224</v>
      </c>
      <c r="F190" t="inlineStr">
        <is>
          <t>VÄSTRA GÖTALANDS LÄN</t>
        </is>
      </c>
      <c r="G190" t="inlineStr">
        <is>
          <t>ALINGSÅS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45996</v>
      </c>
      <c r="E191" s="1" t="n">
        <v>46224</v>
      </c>
      <c r="F191" t="inlineStr">
        <is>
          <t>VÄSTRA GÖTALANDS LÄN</t>
        </is>
      </c>
      <c r="G191" t="inlineStr">
        <is>
          <t>ALINGSÅS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46224</v>
      </c>
      <c r="F192" t="inlineStr">
        <is>
          <t>VÄSTRA GÖTALANDS LÄN</t>
        </is>
      </c>
      <c r="G192" t="inlineStr">
        <is>
          <t>ALINGSÅS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46224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46224</v>
      </c>
      <c r="F194" t="inlineStr">
        <is>
          <t>VÄSTRA GÖTALANDS LÄN</t>
        </is>
      </c>
      <c r="G194" t="inlineStr">
        <is>
          <t>ALINGSÅS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46224</v>
      </c>
      <c r="F195" t="inlineStr">
        <is>
          <t>VÄSTRA GÖTALANDS LÄN</t>
        </is>
      </c>
      <c r="G195" t="inlineStr">
        <is>
          <t>ALINGSÅS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46224</v>
      </c>
      <c r="F196" t="inlineStr">
        <is>
          <t>VÄSTRA GÖTALANDS LÄN</t>
        </is>
      </c>
      <c r="G196" t="inlineStr">
        <is>
          <t>ALINGSÅS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46224</v>
      </c>
      <c r="F197" t="inlineStr">
        <is>
          <t>VÄSTRA GÖTALANDS LÄN</t>
        </is>
      </c>
      <c r="G197" t="inlineStr">
        <is>
          <t>ALINGSÅS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8080-2023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44974</v>
      </c>
      <c r="E198" s="1" t="n">
        <v>46224</v>
      </c>
      <c r="F198" t="inlineStr">
        <is>
          <t>VÄSTRA GÖTALANDS LÄN</t>
        </is>
      </c>
      <c r="G198" t="inlineStr">
        <is>
          <t>ALINGSÅS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46224</v>
      </c>
      <c r="F199" t="inlineStr">
        <is>
          <t>VÄSTRA GÖTALANDS LÄN</t>
        </is>
      </c>
      <c r="G199" t="inlineStr">
        <is>
          <t>ALINGSÅS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46224</v>
      </c>
      <c r="F200" t="inlineStr">
        <is>
          <t>VÄSTRA GÖTALANDS LÄN</t>
        </is>
      </c>
      <c r="G200" t="inlineStr">
        <is>
          <t>ALINGSÅS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50312-2024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46224</v>
      </c>
      <c r="F201" t="inlineStr">
        <is>
          <t>VÄSTRA GÖTALANDS LÄN</t>
        </is>
      </c>
      <c r="G201" t="inlineStr">
        <is>
          <t>ALINGSÅS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46224</v>
      </c>
      <c r="F202" t="inlineStr">
        <is>
          <t>VÄSTRA GÖTALANDS LÄN</t>
        </is>
      </c>
      <c r="G202" t="inlineStr">
        <is>
          <t>ALINGSÅS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59925-2023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46224</v>
      </c>
      <c r="F203" t="inlineStr">
        <is>
          <t>VÄSTRA GÖTALANDS LÄN</t>
        </is>
      </c>
      <c r="G203" t="inlineStr">
        <is>
          <t>ALINGSÅS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9181-2022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44615</v>
      </c>
      <c r="E204" s="1" t="n">
        <v>46224</v>
      </c>
      <c r="F204" t="inlineStr">
        <is>
          <t>VÄSTRA GÖTALANDS LÄN</t>
        </is>
      </c>
      <c r="G204" t="inlineStr">
        <is>
          <t>ALINGSÅS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42865-2022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46224</v>
      </c>
      <c r="F205" t="inlineStr">
        <is>
          <t>VÄSTRA GÖTALANDS LÄN</t>
        </is>
      </c>
      <c r="G205" t="inlineStr">
        <is>
          <t>ALINGSÅS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44729</v>
      </c>
      <c r="E206" s="1" t="n">
        <v>46224</v>
      </c>
      <c r="F206" t="inlineStr">
        <is>
          <t>VÄSTRA GÖTALANDS LÄN</t>
        </is>
      </c>
      <c r="G206" t="inlineStr">
        <is>
          <t>ALINGSÅS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46224</v>
      </c>
      <c r="F207" t="inlineStr">
        <is>
          <t>VÄSTRA GÖTALANDS LÄN</t>
        </is>
      </c>
      <c r="G207" t="inlineStr">
        <is>
          <t>ALINGSÅS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46224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45371</v>
      </c>
      <c r="E209" s="1" t="n">
        <v>46224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46224</v>
      </c>
      <c r="F210" t="inlineStr">
        <is>
          <t>VÄSTRA GÖTALANDS LÄN</t>
        </is>
      </c>
      <c r="G210" t="inlineStr">
        <is>
          <t>ALINGSÅS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46224</v>
      </c>
      <c r="F211" t="inlineStr">
        <is>
          <t>VÄSTRA GÖTALANDS LÄN</t>
        </is>
      </c>
      <c r="G211" t="inlineStr">
        <is>
          <t>ALINGSÅS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2362-2024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45310</v>
      </c>
      <c r="E212" s="1" t="n">
        <v>46224</v>
      </c>
      <c r="F212" t="inlineStr">
        <is>
          <t>VÄSTRA GÖTALANDS LÄN</t>
        </is>
      </c>
      <c r="G212" t="inlineStr">
        <is>
          <t>ALINGSÅS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44821</v>
      </c>
      <c r="E213" s="1" t="n">
        <v>46224</v>
      </c>
      <c r="F213" t="inlineStr">
        <is>
          <t>VÄSTRA GÖTALANDS LÄN</t>
        </is>
      </c>
      <c r="G213" t="inlineStr">
        <is>
          <t>ALINGSÅS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46224</v>
      </c>
      <c r="F214" t="inlineStr">
        <is>
          <t>VÄSTRA GÖTALANDS LÄN</t>
        </is>
      </c>
      <c r="G214" t="inlineStr">
        <is>
          <t>ALINGSÅS</t>
        </is>
      </c>
      <c r="I214" t="n">
        <v>13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53887-2021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46224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18159-2024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46224</v>
      </c>
      <c r="F216" t="inlineStr">
        <is>
          <t>VÄSTRA GÖTALANDS LÄN</t>
        </is>
      </c>
      <c r="G216" t="inlineStr">
        <is>
          <t>ALINGSÅS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46107</v>
      </c>
      <c r="E217" s="1" t="n">
        <v>46224</v>
      </c>
      <c r="F217" t="inlineStr">
        <is>
          <t>VÄSTRA GÖTALANDS LÄN</t>
        </is>
      </c>
      <c r="G217" t="inlineStr">
        <is>
          <t>ALINGSÅS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46108</v>
      </c>
      <c r="E218" s="1" t="n">
        <v>46224</v>
      </c>
      <c r="F218" t="inlineStr">
        <is>
          <t>VÄSTRA GÖTALANDS LÄN</t>
        </is>
      </c>
      <c r="G218" t="inlineStr">
        <is>
          <t>ALINGSÅS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46108</v>
      </c>
      <c r="E219" s="1" t="n">
        <v>46224</v>
      </c>
      <c r="F219" t="inlineStr">
        <is>
          <t>VÄSTRA GÖTALANDS LÄN</t>
        </is>
      </c>
      <c r="G219" t="inlineStr">
        <is>
          <t>ALINGSÅS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46107</v>
      </c>
      <c r="E220" s="1" t="n">
        <v>46224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46224</v>
      </c>
      <c r="F221" t="inlineStr">
        <is>
          <t>VÄSTRA GÖTALANDS LÄN</t>
        </is>
      </c>
      <c r="G221" t="inlineStr">
        <is>
          <t>ALINGSÅS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45380</v>
      </c>
      <c r="E222" s="1" t="n">
        <v>46224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44727</v>
      </c>
      <c r="E223" s="1" t="n">
        <v>46224</v>
      </c>
      <c r="F223" t="inlineStr">
        <is>
          <t>VÄSTRA GÖTALANDS LÄN</t>
        </is>
      </c>
      <c r="G223" t="inlineStr">
        <is>
          <t>ALINGSÅS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17834-2026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46224</v>
      </c>
      <c r="F224" t="inlineStr">
        <is>
          <t>VÄSTRA GÖTALANDS LÄN</t>
        </is>
      </c>
      <c r="G224" t="inlineStr">
        <is>
          <t>ALINGSÅS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46224</v>
      </c>
      <c r="F225" t="inlineStr">
        <is>
          <t>VÄSTRA GÖTALANDS LÄN</t>
        </is>
      </c>
      <c r="G225" t="inlineStr">
        <is>
          <t>ALINGSÅS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46224</v>
      </c>
      <c r="F226" t="inlineStr">
        <is>
          <t>VÄSTRA GÖTALANDS LÄN</t>
        </is>
      </c>
      <c r="G226" t="inlineStr">
        <is>
          <t>ALINGSÅS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46224</v>
      </c>
      <c r="F227" t="inlineStr">
        <is>
          <t>VÄSTRA GÖTALANDS LÄN</t>
        </is>
      </c>
      <c r="G227" t="inlineStr">
        <is>
          <t>ALINGSÅS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18360-2026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46126</v>
      </c>
      <c r="E228" s="1" t="n">
        <v>46224</v>
      </c>
      <c r="F228" t="inlineStr">
        <is>
          <t>VÄSTRA GÖTALANDS LÄN</t>
        </is>
      </c>
      <c r="G228" t="inlineStr">
        <is>
          <t>ALINGSÅS</t>
        </is>
      </c>
      <c r="H228" t="inlineStr">
        <is>
          <t>Kommuner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23559-2022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44721</v>
      </c>
      <c r="E229" s="1" t="n">
        <v>46224</v>
      </c>
      <c r="F229" t="inlineStr">
        <is>
          <t>VÄSTRA GÖTALANDS LÄN</t>
        </is>
      </c>
      <c r="G229" t="inlineStr">
        <is>
          <t>ALINGSÅS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39963-2021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44418</v>
      </c>
      <c r="E230" s="1" t="n">
        <v>46224</v>
      </c>
      <c r="F230" t="inlineStr">
        <is>
          <t>VÄSTRA GÖTALANDS LÄN</t>
        </is>
      </c>
      <c r="G230" t="inlineStr">
        <is>
          <t>ALINGSÅS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46129</v>
      </c>
      <c r="E231" s="1" t="n">
        <v>46224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45265</v>
      </c>
      <c r="E232" s="1" t="n">
        <v>46224</v>
      </c>
      <c r="F232" t="inlineStr">
        <is>
          <t>VÄSTRA GÖTALANDS LÄN</t>
        </is>
      </c>
      <c r="G232" t="inlineStr">
        <is>
          <t>ALINGSÅS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46224</v>
      </c>
      <c r="F233" t="inlineStr">
        <is>
          <t>VÄSTRA GÖTALANDS LÄN</t>
        </is>
      </c>
      <c r="G233" t="inlineStr">
        <is>
          <t>ALINGSÅS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46224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45399</v>
      </c>
      <c r="E235" s="1" t="n">
        <v>46224</v>
      </c>
      <c r="F235" t="inlineStr">
        <is>
          <t>VÄSTRA GÖTALANDS LÄN</t>
        </is>
      </c>
      <c r="G235" t="inlineStr">
        <is>
          <t>ALINGSÅS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46224</v>
      </c>
      <c r="F236" t="inlineStr">
        <is>
          <t>VÄSTRA GÖTALANDS LÄN</t>
        </is>
      </c>
      <c r="G236" t="inlineStr">
        <is>
          <t>ALINGSÅS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46224</v>
      </c>
      <c r="F237" t="inlineStr">
        <is>
          <t>VÄSTRA GÖTALANDS LÄN</t>
        </is>
      </c>
      <c r="G237" t="inlineStr">
        <is>
          <t>ALINGSÅS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44708</v>
      </c>
      <c r="E238" s="1" t="n">
        <v>46224</v>
      </c>
      <c r="F238" t="inlineStr">
        <is>
          <t>VÄSTRA GÖTALANDS LÄN</t>
        </is>
      </c>
      <c r="G238" t="inlineStr">
        <is>
          <t>ALINGSÅS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45075</v>
      </c>
      <c r="E239" s="1" t="n">
        <v>46224</v>
      </c>
      <c r="F239" t="inlineStr">
        <is>
          <t>VÄSTRA GÖTALANDS LÄN</t>
        </is>
      </c>
      <c r="G239" t="inlineStr">
        <is>
          <t>ALINGSÅS</t>
        </is>
      </c>
      <c r="I239" t="n">
        <v>13.1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46224</v>
      </c>
      <c r="F240" t="inlineStr">
        <is>
          <t>VÄSTRA GÖTALANDS LÄN</t>
        </is>
      </c>
      <c r="G240" t="inlineStr">
        <is>
          <t>ALINGSÅS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46224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52298-2024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46224</v>
      </c>
      <c r="F242" t="inlineStr">
        <is>
          <t>VÄSTRA GÖTALANDS LÄN</t>
        </is>
      </c>
      <c r="G242" t="inlineStr">
        <is>
          <t>ALINGSÅS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46224</v>
      </c>
      <c r="F243" t="inlineStr">
        <is>
          <t>VÄSTRA GÖTALANDS LÄN</t>
        </is>
      </c>
      <c r="G243" t="inlineStr">
        <is>
          <t>ALINGSÅS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46224</v>
      </c>
      <c r="F244" t="inlineStr">
        <is>
          <t>VÄSTRA GÖTALANDS LÄN</t>
        </is>
      </c>
      <c r="G244" t="inlineStr">
        <is>
          <t>ALINGSÅS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45271</v>
      </c>
      <c r="E245" s="1" t="n">
        <v>46224</v>
      </c>
      <c r="F245" t="inlineStr">
        <is>
          <t>VÄSTRA GÖTALANDS LÄN</t>
        </is>
      </c>
      <c r="G245" t="inlineStr">
        <is>
          <t>ALINGSÅS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44103-2025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46224</v>
      </c>
      <c r="F246" t="inlineStr">
        <is>
          <t>VÄSTRA GÖTALANDS LÄN</t>
        </is>
      </c>
      <c r="G246" t="inlineStr">
        <is>
          <t>ALINGSÅS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46224</v>
      </c>
      <c r="F247" t="inlineStr">
        <is>
          <t>VÄSTRA GÖTALANDS LÄN</t>
        </is>
      </c>
      <c r="G247" t="inlineStr">
        <is>
          <t>ALINGSÅS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44852</v>
      </c>
      <c r="E248" s="1" t="n">
        <v>46224</v>
      </c>
      <c r="F248" t="inlineStr">
        <is>
          <t>VÄSTRA GÖTALANDS LÄN</t>
        </is>
      </c>
      <c r="G248" t="inlineStr">
        <is>
          <t>ALINGSÅS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46224</v>
      </c>
      <c r="F249" t="inlineStr">
        <is>
          <t>VÄSTRA GÖTALANDS LÄN</t>
        </is>
      </c>
      <c r="G249" t="inlineStr">
        <is>
          <t>ALINGSÅS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46224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46224</v>
      </c>
      <c r="F251" t="inlineStr">
        <is>
          <t>VÄSTRA GÖTALANDS LÄN</t>
        </is>
      </c>
      <c r="G251" t="inlineStr">
        <is>
          <t>ALINGSÅS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45681</v>
      </c>
      <c r="E252" s="1" t="n">
        <v>46224</v>
      </c>
      <c r="F252" t="inlineStr">
        <is>
          <t>VÄSTRA GÖTALANDS LÄN</t>
        </is>
      </c>
      <c r="G252" t="inlineStr">
        <is>
          <t>ALINGSÅS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46224</v>
      </c>
      <c r="F253" t="inlineStr">
        <is>
          <t>VÄSTRA GÖTALANDS LÄN</t>
        </is>
      </c>
      <c r="G253" t="inlineStr">
        <is>
          <t>ALINGSÅS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45391</v>
      </c>
      <c r="E254" s="1" t="n">
        <v>46224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46224</v>
      </c>
      <c r="F255" t="inlineStr">
        <is>
          <t>VÄSTRA GÖTALANDS LÄN</t>
        </is>
      </c>
      <c r="G255" t="inlineStr">
        <is>
          <t>ALINGSÅS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46224</v>
      </c>
      <c r="F256" t="inlineStr">
        <is>
          <t>VÄSTRA GÖTALANDS LÄN</t>
        </is>
      </c>
      <c r="G256" t="inlineStr">
        <is>
          <t>ALINGSÅS</t>
        </is>
      </c>
      <c r="I256" t="n">
        <v>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44953</v>
      </c>
      <c r="E257" s="1" t="n">
        <v>46224</v>
      </c>
      <c r="F257" t="inlineStr">
        <is>
          <t>VÄSTRA GÖTALANDS LÄN</t>
        </is>
      </c>
      <c r="G257" t="inlineStr">
        <is>
          <t>ALINGSÅS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46185</v>
      </c>
      <c r="E258" s="1" t="n">
        <v>46224</v>
      </c>
      <c r="F258" t="inlineStr">
        <is>
          <t>VÄSTRA GÖTALANDS LÄN</t>
        </is>
      </c>
      <c r="G258" t="inlineStr">
        <is>
          <t>ALINGSÅS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46224</v>
      </c>
      <c r="F259" t="inlineStr">
        <is>
          <t>VÄSTRA GÖTALANDS LÄN</t>
        </is>
      </c>
      <c r="G259" t="inlineStr">
        <is>
          <t>ALINGSÅS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44446</v>
      </c>
      <c r="E260" s="1" t="n">
        <v>46224</v>
      </c>
      <c r="F260" t="inlineStr">
        <is>
          <t>VÄSTRA GÖTALANDS LÄN</t>
        </is>
      </c>
      <c r="G260" t="inlineStr">
        <is>
          <t>ALINGSÅS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45569</v>
      </c>
      <c r="E261" s="1" t="n">
        <v>46224</v>
      </c>
      <c r="F261" t="inlineStr">
        <is>
          <t>VÄSTRA GÖTALANDS LÄN</t>
        </is>
      </c>
      <c r="G261" t="inlineStr">
        <is>
          <t>ALINGSÅS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45378</v>
      </c>
      <c r="E262" s="1" t="n">
        <v>46224</v>
      </c>
      <c r="F262" t="inlineStr">
        <is>
          <t>VÄSTRA GÖTALANDS LÄN</t>
        </is>
      </c>
      <c r="G262" t="inlineStr">
        <is>
          <t>ALINGSÅS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47960-2022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44855</v>
      </c>
      <c r="E263" s="1" t="n">
        <v>46224</v>
      </c>
      <c r="F263" t="inlineStr">
        <is>
          <t>VÄSTRA GÖTALANDS LÄN</t>
        </is>
      </c>
      <c r="G263" t="inlineStr">
        <is>
          <t>ALINGSÅS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46224</v>
      </c>
      <c r="F264" t="inlineStr">
        <is>
          <t>VÄSTRA GÖTALANDS LÄN</t>
        </is>
      </c>
      <c r="G264" t="inlineStr">
        <is>
          <t>ALINGSÅS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46224</v>
      </c>
      <c r="F265" t="inlineStr">
        <is>
          <t>VÄSTRA GÖTALANDS LÄN</t>
        </is>
      </c>
      <c r="G265" t="inlineStr">
        <is>
          <t>ALINGSÅS</t>
        </is>
      </c>
      <c r="I265" t="n">
        <v>21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46191</v>
      </c>
      <c r="E266" s="1" t="n">
        <v>46224</v>
      </c>
      <c r="F266" t="inlineStr">
        <is>
          <t>VÄSTRA GÖTALANDS LÄN</t>
        </is>
      </c>
      <c r="G266" t="inlineStr">
        <is>
          <t>ALINGSÅS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46224</v>
      </c>
      <c r="F267" t="inlineStr">
        <is>
          <t>VÄSTRA GÖTALANDS LÄN</t>
        </is>
      </c>
      <c r="G267" t="inlineStr">
        <is>
          <t>ALINGSÅS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46224</v>
      </c>
      <c r="F268" t="inlineStr">
        <is>
          <t>VÄSTRA GÖTALANDS LÄN</t>
        </is>
      </c>
      <c r="G268" t="inlineStr">
        <is>
          <t>ALINGSÅS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46224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45576</v>
      </c>
      <c r="E270" s="1" t="n">
        <v>46224</v>
      </c>
      <c r="F270" t="inlineStr">
        <is>
          <t>VÄSTRA GÖTALANDS LÄN</t>
        </is>
      </c>
      <c r="G270" t="inlineStr">
        <is>
          <t>ALINGSÅS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45011</v>
      </c>
      <c r="E271" s="1" t="n">
        <v>46224</v>
      </c>
      <c r="F271" t="inlineStr">
        <is>
          <t>VÄSTRA GÖTALANDS LÄN</t>
        </is>
      </c>
      <c r="G271" t="inlineStr">
        <is>
          <t>ALINGSÅS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44907</v>
      </c>
      <c r="E272" s="1" t="n">
        <v>46224</v>
      </c>
      <c r="F272" t="inlineStr">
        <is>
          <t>VÄSTRA GÖTALANDS LÄN</t>
        </is>
      </c>
      <c r="G272" t="inlineStr">
        <is>
          <t>ALINGSÅS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12318-2022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44637</v>
      </c>
      <c r="E273" s="1" t="n">
        <v>46224</v>
      </c>
      <c r="F273" t="inlineStr">
        <is>
          <t>VÄSTRA GÖTALANDS LÄN</t>
        </is>
      </c>
      <c r="G273" t="inlineStr">
        <is>
          <t>ALINGSÅS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46224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46224</v>
      </c>
      <c r="F275" t="inlineStr">
        <is>
          <t>VÄSTRA GÖTALANDS LÄN</t>
        </is>
      </c>
      <c r="G275" t="inlineStr">
        <is>
          <t>ALINGSÅS</t>
        </is>
      </c>
      <c r="H275" t="inlineStr">
        <is>
          <t>Kyrkan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46224</v>
      </c>
      <c r="F276" t="inlineStr">
        <is>
          <t>VÄSTRA GÖTALANDS LÄN</t>
        </is>
      </c>
      <c r="G276" t="inlineStr">
        <is>
          <t>ALINGSÅS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46224</v>
      </c>
      <c r="F277" t="inlineStr">
        <is>
          <t>VÄSTRA GÖTALANDS LÄN</t>
        </is>
      </c>
      <c r="G277" t="inlineStr">
        <is>
          <t>ALINGSÅS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46224</v>
      </c>
      <c r="F278" t="inlineStr">
        <is>
          <t>VÄSTRA GÖTALANDS LÄN</t>
        </is>
      </c>
      <c r="G278" t="inlineStr">
        <is>
          <t>ALINGSÅS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46224</v>
      </c>
      <c r="F279" t="inlineStr">
        <is>
          <t>VÄSTRA GÖTALANDS LÄN</t>
        </is>
      </c>
      <c r="G279" t="inlineStr">
        <is>
          <t>ALINGSÅS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45440</v>
      </c>
      <c r="E280" s="1" t="n">
        <v>46224</v>
      </c>
      <c r="F280" t="inlineStr">
        <is>
          <t>VÄSTRA GÖTALANDS LÄN</t>
        </is>
      </c>
      <c r="G280" t="inlineStr">
        <is>
          <t>ALINGSÅS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46224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46224</v>
      </c>
      <c r="F282" t="inlineStr">
        <is>
          <t>VÄSTRA GÖTALANDS LÄN</t>
        </is>
      </c>
      <c r="G282" t="inlineStr">
        <is>
          <t>ALINGSÅS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46224</v>
      </c>
      <c r="F283" t="inlineStr">
        <is>
          <t>VÄSTRA GÖTALANDS LÄN</t>
        </is>
      </c>
      <c r="G283" t="inlineStr">
        <is>
          <t>ALINGSÅS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45258</v>
      </c>
      <c r="E284" s="1" t="n">
        <v>46224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46224</v>
      </c>
      <c r="F285" t="inlineStr">
        <is>
          <t>VÄSTRA GÖTALANDS LÄN</t>
        </is>
      </c>
      <c r="G285" t="inlineStr">
        <is>
          <t>ALINGSÅS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38955-2022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46224</v>
      </c>
      <c r="F286" t="inlineStr">
        <is>
          <t>VÄSTRA GÖTALANDS LÄN</t>
        </is>
      </c>
      <c r="G286" t="inlineStr">
        <is>
          <t>ALINGSÅS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46224</v>
      </c>
      <c r="F287" t="inlineStr">
        <is>
          <t>VÄSTRA GÖTALANDS LÄN</t>
        </is>
      </c>
      <c r="G287" t="inlineStr">
        <is>
          <t>ALINGSÅS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40880-2023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46224</v>
      </c>
      <c r="F288" t="inlineStr">
        <is>
          <t>VÄSTRA GÖTALANDS LÄN</t>
        </is>
      </c>
      <c r="G288" t="inlineStr">
        <is>
          <t>ALINGSÅS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24995-2026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46224</v>
      </c>
      <c r="F289" t="inlineStr">
        <is>
          <t>VÄSTRA GÖTALANDS LÄN</t>
        </is>
      </c>
      <c r="G289" t="inlineStr">
        <is>
          <t>ALINGSÅS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46224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46224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46224</v>
      </c>
      <c r="F292" t="inlineStr">
        <is>
          <t>VÄSTRA GÖTALANDS LÄN</t>
        </is>
      </c>
      <c r="G292" t="inlineStr">
        <is>
          <t>ALINGSÅS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46224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45465</v>
      </c>
      <c r="E294" s="1" t="n">
        <v>46224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19562-2024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46224</v>
      </c>
      <c r="F295" t="inlineStr">
        <is>
          <t>VÄSTRA GÖTALANDS LÄN</t>
        </is>
      </c>
      <c r="G295" t="inlineStr">
        <is>
          <t>ALINGSÅS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25343-2026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46176</v>
      </c>
      <c r="E296" s="1" t="n">
        <v>46224</v>
      </c>
      <c r="F296" t="inlineStr">
        <is>
          <t>VÄSTRA GÖTALANDS LÄN</t>
        </is>
      </c>
      <c r="G296" t="inlineStr">
        <is>
          <t>ALINGSÅS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46224</v>
      </c>
      <c r="F297" t="inlineStr">
        <is>
          <t>VÄSTRA GÖTALANDS LÄN</t>
        </is>
      </c>
      <c r="G297" t="inlineStr">
        <is>
          <t>ALINGSÅS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46176</v>
      </c>
      <c r="E298" s="1" t="n">
        <v>46224</v>
      </c>
      <c r="F298" t="inlineStr">
        <is>
          <t>VÄSTRA GÖTALANDS LÄN</t>
        </is>
      </c>
      <c r="G298" t="inlineStr">
        <is>
          <t>ALINGSÅS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46224</v>
      </c>
      <c r="F299" t="inlineStr">
        <is>
          <t>VÄSTRA GÖTALANDS LÄN</t>
        </is>
      </c>
      <c r="G299" t="inlineStr">
        <is>
          <t>ALINGSÅS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44456</v>
      </c>
      <c r="E300" s="1" t="n">
        <v>46224</v>
      </c>
      <c r="F300" t="inlineStr">
        <is>
          <t>VÄSTRA GÖTALANDS LÄN</t>
        </is>
      </c>
      <c r="G300" t="inlineStr">
        <is>
          <t>ALINGSÅS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41971-2023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45177</v>
      </c>
      <c r="E301" s="1" t="n">
        <v>46224</v>
      </c>
      <c r="F301" t="inlineStr">
        <is>
          <t>VÄSTRA GÖTALANDS LÄN</t>
        </is>
      </c>
      <c r="G301" t="inlineStr">
        <is>
          <t>ALINGSÅS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46224</v>
      </c>
      <c r="F302" t="inlineStr">
        <is>
          <t>VÄSTRA GÖTALANDS LÄN</t>
        </is>
      </c>
      <c r="G302" t="inlineStr">
        <is>
          <t>ALINGSÅS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46177</v>
      </c>
      <c r="E303" s="1" t="n">
        <v>46224</v>
      </c>
      <c r="F303" t="inlineStr">
        <is>
          <t>VÄSTRA GÖTALANDS LÄN</t>
        </is>
      </c>
      <c r="G303" t="inlineStr">
        <is>
          <t>ALINGSÅS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46224</v>
      </c>
      <c r="F304" t="inlineStr">
        <is>
          <t>VÄSTRA GÖTALANDS LÄN</t>
        </is>
      </c>
      <c r="G304" t="inlineStr">
        <is>
          <t>ALINGSÅS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46178</v>
      </c>
      <c r="E305" s="1" t="n">
        <v>46224</v>
      </c>
      <c r="F305" t="inlineStr">
        <is>
          <t>VÄSTRA GÖTALANDS LÄN</t>
        </is>
      </c>
      <c r="G305" t="inlineStr">
        <is>
          <t>ALINGSÅS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45594</v>
      </c>
      <c r="E306" s="1" t="n">
        <v>46224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45721</v>
      </c>
      <c r="E307" s="1" t="n">
        <v>46224</v>
      </c>
      <c r="F307" t="inlineStr">
        <is>
          <t>VÄSTRA GÖTALANDS LÄN</t>
        </is>
      </c>
      <c r="G307" t="inlineStr">
        <is>
          <t>ALINGSÅS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33491-2024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45519</v>
      </c>
      <c r="E308" s="1" t="n">
        <v>46224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46224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46224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46224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46224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46224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46224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46224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46224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46224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46224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2026-07-21T01:35:36Z</dcterms:created>
  <dcterms:modified xmlns:dcterms="http://purl.org/dc/terms/" xmlns:xsi="http://www.w3.org/2001/XMLSchema-instance" xsi:type="dcterms:W3CDTF">2026-07-21T01:35:36Z</dcterms:modified>
</cp:coreProperties>
</file>