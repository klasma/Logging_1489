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46304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46304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46304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46304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46304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46304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46304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46304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46304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46304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46304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46304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46304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46304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46304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46304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46304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46304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46304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46304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62603-2023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46304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Kyrkan</t>
        </is>
      </c>
      <c r="I30" t="n">
        <v>4.9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Duvhök</t>
        </is>
      </c>
      <c r="W30">
        <f>HYPERLINK("https://klasma.github.io/Logging_1489/artfynd/A 62603-2023 artfynd.xlsx", "A 62603-2023")</f>
        <v/>
      </c>
      <c r="X30">
        <f>HYPERLINK("https://klasma.github.io/Logging_1489/kartor/A 62603-2023 karta.png", "A 62603-2023")</f>
        <v/>
      </c>
      <c r="Y30">
        <f>HYPERLINK("https://klasma.github.io/Logging_1489/kartor_geotiff/A 62603-2023 georefererad karta.tif", "A 62603-2023")</f>
        <v/>
      </c>
      <c r="AA30">
        <f>HYPERLINK("https://klasma.github.io/Logging_1489/klagomål/A 62603-2023 FSC-klagomål.docx", "A 62603-2023")</f>
        <v/>
      </c>
      <c r="AB30">
        <f>HYPERLINK("https://klasma.github.io/Logging_1489/klagomålsmail/A 62603-2023 FSC-klagomål mail.docx", "A 62603-2023")</f>
        <v/>
      </c>
      <c r="AC30">
        <f>HYPERLINK("https://klasma.github.io/Logging_1489/tillsyn/A 62603-2023 tillsynsbegäran.docx", "A 62603-2023")</f>
        <v/>
      </c>
      <c r="AD30">
        <f>HYPERLINK("https://klasma.github.io/Logging_1489/tillsynsmail/A 62603-2023 tillsynsbegäran mail.docx", "A 62603-2023")</f>
        <v/>
      </c>
      <c r="AE30">
        <f>HYPERLINK("https://klasma.github.io/Logging_1489/fåglar/A 62603-2023 prioriterade fågelarter.docx", "A 62603-2023")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46304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46304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4205-2026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46304</v>
      </c>
      <c r="F33" t="inlineStr">
        <is>
          <t>VÄSTRA GÖTALANDS LÄN</t>
        </is>
      </c>
      <c r="G33" t="inlineStr">
        <is>
          <t>ALINGSÅS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HYPERLINK("https://klasma.github.io/Logging_1489/artfynd/A 4205-2026 artfynd.xlsx", "A 4205-2026")</f>
        <v/>
      </c>
      <c r="X33">
        <f>HYPERLINK("https://klasma.github.io/Logging_1489/kartor/A 4205-2026 karta.png", "A 4205-2026")</f>
        <v/>
      </c>
      <c r="Y33">
        <f>HYPERLINK("https://klasma.github.io/Logging_1489/kartor_geotiff/A 4205-2026 georefererad karta.tif", "A 4205-2026")</f>
        <v/>
      </c>
      <c r="AA33">
        <f>HYPERLINK("https://klasma.github.io/Logging_1489/klagomål/A 4205-2026 FSC-klagomål.docx", "A 4205-2026")</f>
        <v/>
      </c>
      <c r="AB33">
        <f>HYPERLINK("https://klasma.github.io/Logging_1489/klagomålsmail/A 4205-2026 FSC-klagomål mail.docx", "A 4205-2026")</f>
        <v/>
      </c>
      <c r="AC33">
        <f>HYPERLINK("https://klasma.github.io/Logging_1489/tillsyn/A 4205-2026 tillsynsbegäran.docx", "A 4205-2026")</f>
        <v/>
      </c>
      <c r="AD33">
        <f>HYPERLINK("https://klasma.github.io/Logging_1489/tillsynsmail/A 4205-2026 tillsynsbegäran mail.docx", "A 4205-2026")</f>
        <v/>
      </c>
      <c r="AE33">
        <f>HYPERLINK("https://klasma.github.io/Logging_1489/fåglar/A 4205-2026 prioriterade fågelarter.docx", "A 4205-2026")</f>
        <v/>
      </c>
    </row>
    <row r="34" ht="15" customHeight="1">
      <c r="A34" t="inlineStr">
        <is>
          <t>A 51927-2024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45607</v>
      </c>
      <c r="E34" s="1" t="n">
        <v>46304</v>
      </c>
      <c r="F34" t="inlineStr">
        <is>
          <t>VÄSTRA GÖTALANDS LÄN</t>
        </is>
      </c>
      <c r="G34" t="inlineStr">
        <is>
          <t>ALINGSÅS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51927-2024 artfynd.xlsx", "A 51927-2024")</f>
        <v/>
      </c>
      <c r="X34">
        <f>HYPERLINK("https://klasma.github.io/Logging_1489/kartor/A 51927-2024 karta.png", "A 51927-2024")</f>
        <v/>
      </c>
      <c r="Y34">
        <f>HYPERLINK("https://klasma.github.io/Logging_1489/kartor_geotiff/A 51927-2024 georefererad karta.tif", "A 51927-2024")</f>
        <v/>
      </c>
      <c r="AA34">
        <f>HYPERLINK("https://klasma.github.io/Logging_1489/klagomål/A 51927-2024 FSC-klagomål.docx", "A 51927-2024")</f>
        <v/>
      </c>
      <c r="AB34">
        <f>HYPERLINK("https://klasma.github.io/Logging_1489/klagomålsmail/A 51927-2024 FSC-klagomål mail.docx", "A 51927-2024")</f>
        <v/>
      </c>
      <c r="AC34">
        <f>HYPERLINK("https://klasma.github.io/Logging_1489/tillsyn/A 51927-2024 tillsynsbegäran.docx", "A 51927-2024")</f>
        <v/>
      </c>
      <c r="AD34">
        <f>HYPERLINK("https://klasma.github.io/Logging_1489/tillsynsmail/A 51927-2024 tillsynsbegäran mail.docx", "A 51927-2024")</f>
        <v/>
      </c>
    </row>
    <row r="35" ht="15" customHeight="1">
      <c r="A35" t="inlineStr">
        <is>
          <t>A 37537-2024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45541</v>
      </c>
      <c r="E35" s="1" t="n">
        <v>46304</v>
      </c>
      <c r="F35" t="inlineStr">
        <is>
          <t>VÄSTRA GÖTALANDS LÄN</t>
        </is>
      </c>
      <c r="G35" t="inlineStr">
        <is>
          <t>ALINGSÅS</t>
        </is>
      </c>
      <c r="I35" t="n">
        <v>3.5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37537-2024 artfynd.xlsx", "A 37537-2024")</f>
        <v/>
      </c>
      <c r="X35">
        <f>HYPERLINK("https://klasma.github.io/Logging_1489/kartor/A 37537-2024 karta.png", "A 37537-2024")</f>
        <v/>
      </c>
      <c r="Y35">
        <f>HYPERLINK("https://klasma.github.io/Logging_1489/kartor_geotiff/A 37537-2024 georefererad karta.tif", "A 37537-2024")</f>
        <v/>
      </c>
      <c r="AA35">
        <f>HYPERLINK("https://klasma.github.io/Logging_1489/klagomål/A 37537-2024 FSC-klagomål.docx", "A 37537-2024")</f>
        <v/>
      </c>
      <c r="AB35">
        <f>HYPERLINK("https://klasma.github.io/Logging_1489/klagomålsmail/A 37537-2024 FSC-klagomål mail.docx", "A 37537-2024")</f>
        <v/>
      </c>
      <c r="AC35">
        <f>HYPERLINK("https://klasma.github.io/Logging_1489/tillsyn/A 37537-2024 tillsynsbegäran.docx", "A 37537-2024")</f>
        <v/>
      </c>
      <c r="AD35">
        <f>HYPERLINK("https://klasma.github.io/Logging_1489/tillsynsmail/A 37537-2024 tillsynsbegäran mail.docx", "A 37537-2024")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46304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46304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46304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46304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46304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46304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46304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46304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46304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46304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46304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46304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46304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46304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46304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46304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46304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46304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46304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46304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46304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46304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46304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46304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46304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46304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46304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46304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45456</v>
      </c>
      <c r="E64" s="1" t="n">
        <v>46304</v>
      </c>
      <c r="F64" t="inlineStr">
        <is>
          <t>VÄSTRA GÖTALANDS LÄN</t>
        </is>
      </c>
      <c r="G64" t="inlineStr">
        <is>
          <t>ALINGSÅS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45118</v>
      </c>
      <c r="E65" s="1" t="n">
        <v>46304</v>
      </c>
      <c r="F65" t="inlineStr">
        <is>
          <t>VÄSTRA GÖTALANDS LÄN</t>
        </is>
      </c>
      <c r="G65" t="inlineStr">
        <is>
          <t>ALINGSÅS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46304</v>
      </c>
      <c r="F66" t="inlineStr">
        <is>
          <t>VÄSTRA GÖTALANDS LÄN</t>
        </is>
      </c>
      <c r="G66" t="inlineStr">
        <is>
          <t>ALINGSÅS</t>
        </is>
      </c>
      <c r="H66" t="inlineStr">
        <is>
          <t>Kyrkan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46304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46304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46304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46304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46304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46304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46304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46304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46304</v>
      </c>
      <c r="F75" t="inlineStr">
        <is>
          <t>VÄSTRA GÖTALANDS LÄN</t>
        </is>
      </c>
      <c r="G75" t="inlineStr">
        <is>
          <t>ALINGSÅS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46304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46304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46304</v>
      </c>
      <c r="F78" t="inlineStr">
        <is>
          <t>VÄSTRA GÖTALANDS LÄN</t>
        </is>
      </c>
      <c r="G78" t="inlineStr">
        <is>
          <t>ALINGSÅS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46304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46304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46304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46304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46304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46304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46304</v>
      </c>
      <c r="F85" t="inlineStr">
        <is>
          <t>VÄSTRA GÖTALANDS LÄN</t>
        </is>
      </c>
      <c r="G85" t="inlineStr">
        <is>
          <t>ALINGSÅS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46304</v>
      </c>
      <c r="F86" t="inlineStr">
        <is>
          <t>VÄSTRA GÖTALANDS LÄN</t>
        </is>
      </c>
      <c r="G86" t="inlineStr">
        <is>
          <t>ALINGSÅS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46304</v>
      </c>
      <c r="F87" t="inlineStr">
        <is>
          <t>VÄSTRA GÖTALANDS LÄN</t>
        </is>
      </c>
      <c r="G87" t="inlineStr">
        <is>
          <t>ALINGSÅS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46304</v>
      </c>
      <c r="F88" t="inlineStr">
        <is>
          <t>VÄSTRA GÖTALANDS LÄN</t>
        </is>
      </c>
      <c r="G88" t="inlineStr">
        <is>
          <t>ALINGSÅS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46304</v>
      </c>
      <c r="F89" t="inlineStr">
        <is>
          <t>VÄSTRA GÖTALANDS LÄN</t>
        </is>
      </c>
      <c r="G89" t="inlineStr">
        <is>
          <t>ALINGSÅS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44991</v>
      </c>
      <c r="E90" s="1" t="n">
        <v>46304</v>
      </c>
      <c r="F90" t="inlineStr">
        <is>
          <t>VÄSTRA GÖTALANDS LÄN</t>
        </is>
      </c>
      <c r="G90" t="inlineStr">
        <is>
          <t>ALINGSÅS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46304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46304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45406</v>
      </c>
      <c r="E93" s="1" t="n">
        <v>46304</v>
      </c>
      <c r="F93" t="inlineStr">
        <is>
          <t>VÄSTRA GÖTALANDS LÄN</t>
        </is>
      </c>
      <c r="G93" t="inlineStr">
        <is>
          <t>ALINGSÅS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58558-2021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46304</v>
      </c>
      <c r="F94" t="inlineStr">
        <is>
          <t>VÄSTRA GÖTALANDS LÄN</t>
        </is>
      </c>
      <c r="G94" t="inlineStr">
        <is>
          <t>ALINGSÅS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45687</v>
      </c>
      <c r="E95" s="1" t="n">
        <v>46304</v>
      </c>
      <c r="F95" t="inlineStr">
        <is>
          <t>VÄSTRA GÖTALANDS LÄN</t>
        </is>
      </c>
      <c r="G95" t="inlineStr">
        <is>
          <t>ALINGSÅS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46304</v>
      </c>
      <c r="F96" t="inlineStr">
        <is>
          <t>VÄSTRA GÖTALANDS LÄN</t>
        </is>
      </c>
      <c r="G96" t="inlineStr">
        <is>
          <t>ALINGSÅS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46304</v>
      </c>
      <c r="F97" t="inlineStr">
        <is>
          <t>VÄSTRA GÖTALANDS LÄN</t>
        </is>
      </c>
      <c r="G97" t="inlineStr">
        <is>
          <t>ALINGSÅS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46304</v>
      </c>
      <c r="F98" t="inlineStr">
        <is>
          <t>VÄSTRA GÖTALANDS LÄN</t>
        </is>
      </c>
      <c r="G98" t="inlineStr">
        <is>
          <t>ALINGSÅS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46304</v>
      </c>
      <c r="F99" t="inlineStr">
        <is>
          <t>VÄSTRA GÖTALANDS LÄN</t>
        </is>
      </c>
      <c r="G99" t="inlineStr">
        <is>
          <t>ALINGSÅS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46304</v>
      </c>
      <c r="F100" t="inlineStr">
        <is>
          <t>VÄSTRA GÖTALANDS LÄN</t>
        </is>
      </c>
      <c r="G100" t="inlineStr">
        <is>
          <t>ALINGSÅS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19553-2024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45429</v>
      </c>
      <c r="E101" s="1" t="n">
        <v>46304</v>
      </c>
      <c r="F101" t="inlineStr">
        <is>
          <t>VÄSTRA GÖTALANDS LÄN</t>
        </is>
      </c>
      <c r="G101" t="inlineStr">
        <is>
          <t>ALINGSÅS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35003-2025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45850</v>
      </c>
      <c r="E102" s="1" t="n">
        <v>46304</v>
      </c>
      <c r="F102" t="inlineStr">
        <is>
          <t>VÄSTRA GÖTALANDS LÄN</t>
        </is>
      </c>
      <c r="G102" t="inlineStr">
        <is>
          <t>ALINGSÅS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46304</v>
      </c>
      <c r="F103" t="inlineStr">
        <is>
          <t>VÄSTRA GÖTALANDS LÄN</t>
        </is>
      </c>
      <c r="G103" t="inlineStr">
        <is>
          <t>ALINGSÅS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45850</v>
      </c>
      <c r="E104" s="1" t="n">
        <v>46304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63143-2021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46304</v>
      </c>
      <c r="F105" t="inlineStr">
        <is>
          <t>VÄSTRA GÖTALANDS LÄN</t>
        </is>
      </c>
      <c r="G105" t="inlineStr">
        <is>
          <t>ALINGSÅS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45757</v>
      </c>
      <c r="E106" s="1" t="n">
        <v>46304</v>
      </c>
      <c r="F106" t="inlineStr">
        <is>
          <t>VÄSTRA GÖTALANDS LÄN</t>
        </is>
      </c>
      <c r="G106" t="inlineStr">
        <is>
          <t>ALINGSÅS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45230</v>
      </c>
      <c r="E107" s="1" t="n">
        <v>46304</v>
      </c>
      <c r="F107" t="inlineStr">
        <is>
          <t>VÄSTRA GÖTALANDS LÄN</t>
        </is>
      </c>
      <c r="G107" t="inlineStr">
        <is>
          <t>ALINGSÅS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44727</v>
      </c>
      <c r="E108" s="1" t="n">
        <v>46304</v>
      </c>
      <c r="F108" t="inlineStr">
        <is>
          <t>VÄSTRA GÖTALANDS LÄN</t>
        </is>
      </c>
      <c r="G108" t="inlineStr">
        <is>
          <t>ALINGSÅS</t>
        </is>
      </c>
      <c r="I108" t="n">
        <v>10.4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46304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32286-2024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45512</v>
      </c>
      <c r="E110" s="1" t="n">
        <v>46304</v>
      </c>
      <c r="F110" t="inlineStr">
        <is>
          <t>VÄSTRA GÖTALANDS LÄN</t>
        </is>
      </c>
      <c r="G110" t="inlineStr">
        <is>
          <t>ALINGSÅS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46304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46304</v>
      </c>
      <c r="F112" t="inlineStr">
        <is>
          <t>VÄSTRA GÖTALANDS LÄN</t>
        </is>
      </c>
      <c r="G112" t="inlineStr">
        <is>
          <t>ALINGSÅS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45681</v>
      </c>
      <c r="E113" s="1" t="n">
        <v>46304</v>
      </c>
      <c r="F113" t="inlineStr">
        <is>
          <t>VÄSTRA GÖTALANDS LÄN</t>
        </is>
      </c>
      <c r="G113" t="inlineStr">
        <is>
          <t>ALINGSÅS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46304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42710-2025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46304</v>
      </c>
      <c r="F115" t="inlineStr">
        <is>
          <t>VÄSTRA GÖTALANDS LÄN</t>
        </is>
      </c>
      <c r="G115" t="inlineStr">
        <is>
          <t>ALINGSÅS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45329</v>
      </c>
      <c r="E116" s="1" t="n">
        <v>46304</v>
      </c>
      <c r="F116" t="inlineStr">
        <is>
          <t>VÄSTRA GÖTALANDS LÄN</t>
        </is>
      </c>
      <c r="G116" t="inlineStr">
        <is>
          <t>ALINGSÅS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42711-2025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46304</v>
      </c>
      <c r="F117" t="inlineStr">
        <is>
          <t>VÄSTRA GÖTALANDS LÄN</t>
        </is>
      </c>
      <c r="G117" t="inlineStr">
        <is>
          <t>ALINGSÅS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46304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45468</v>
      </c>
      <c r="E119" s="1" t="n">
        <v>46304</v>
      </c>
      <c r="F119" t="inlineStr">
        <is>
          <t>VÄSTRA GÖTALANDS LÄN</t>
        </is>
      </c>
      <c r="G119" t="inlineStr">
        <is>
          <t>ALINGSÅS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44964</v>
      </c>
      <c r="E120" s="1" t="n">
        <v>46304</v>
      </c>
      <c r="F120" t="inlineStr">
        <is>
          <t>VÄSTRA GÖTALANDS LÄN</t>
        </is>
      </c>
      <c r="G120" t="inlineStr">
        <is>
          <t>ALINGSÅS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46304</v>
      </c>
      <c r="F121" t="inlineStr">
        <is>
          <t>VÄSTRA GÖTALANDS LÄN</t>
        </is>
      </c>
      <c r="G121" t="inlineStr">
        <is>
          <t>ALINGSÅS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46304</v>
      </c>
      <c r="F122" t="inlineStr">
        <is>
          <t>VÄSTRA GÖTALANDS LÄN</t>
        </is>
      </c>
      <c r="G122" t="inlineStr">
        <is>
          <t>ALINGSÅS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46304</v>
      </c>
      <c r="F123" t="inlineStr">
        <is>
          <t>VÄSTRA GÖTALANDS LÄN</t>
        </is>
      </c>
      <c r="G123" t="inlineStr">
        <is>
          <t>ALINGSÅS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46304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45782</v>
      </c>
      <c r="E125" s="1" t="n">
        <v>46304</v>
      </c>
      <c r="F125" t="inlineStr">
        <is>
          <t>VÄSTRA GÖTALANDS LÄN</t>
        </is>
      </c>
      <c r="G125" t="inlineStr">
        <is>
          <t>ALINGSÅS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47143-2025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46304</v>
      </c>
      <c r="F126" t="inlineStr">
        <is>
          <t>VÄSTRA GÖTALANDS LÄN</t>
        </is>
      </c>
      <c r="G126" t="inlineStr">
        <is>
          <t>ALINGSÅS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46304</v>
      </c>
      <c r="F127" t="inlineStr">
        <is>
          <t>VÄSTRA GÖTALANDS LÄN</t>
        </is>
      </c>
      <c r="G127" t="inlineStr">
        <is>
          <t>ALINGSÅS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25744-2024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45465</v>
      </c>
      <c r="E128" s="1" t="n">
        <v>46304</v>
      </c>
      <c r="F128" t="inlineStr">
        <is>
          <t>VÄSTRA GÖTALANDS LÄN</t>
        </is>
      </c>
      <c r="G128" t="inlineStr">
        <is>
          <t>ALINGSÅS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25748-2024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45465</v>
      </c>
      <c r="E129" s="1" t="n">
        <v>46304</v>
      </c>
      <c r="F129" t="inlineStr">
        <is>
          <t>VÄSTRA GÖTALANDS LÄN</t>
        </is>
      </c>
      <c r="G129" t="inlineStr">
        <is>
          <t>ALINGSÅS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46304</v>
      </c>
      <c r="F130" t="inlineStr">
        <is>
          <t>VÄSTRA GÖTALANDS LÄN</t>
        </is>
      </c>
      <c r="G130" t="inlineStr">
        <is>
          <t>ALINGSÅS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64194-2023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46304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46304</v>
      </c>
      <c r="F132" t="inlineStr">
        <is>
          <t>VÄSTRA GÖTALANDS LÄN</t>
        </is>
      </c>
      <c r="G132" t="inlineStr">
        <is>
          <t>ALINGSÅS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16612-2022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44672</v>
      </c>
      <c r="E133" s="1" t="n">
        <v>46304</v>
      </c>
      <c r="F133" t="inlineStr">
        <is>
          <t>VÄSTRA GÖTALANDS LÄN</t>
        </is>
      </c>
      <c r="G133" t="inlineStr">
        <is>
          <t>ALINGSÅS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46304</v>
      </c>
      <c r="F134" t="inlineStr">
        <is>
          <t>VÄSTRA GÖTALANDS LÄN</t>
        </is>
      </c>
      <c r="G134" t="inlineStr">
        <is>
          <t>ALINGSÅS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16077-2026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46108</v>
      </c>
      <c r="E135" s="1" t="n">
        <v>46304</v>
      </c>
      <c r="F135" t="inlineStr">
        <is>
          <t>VÄSTRA GÖTALANDS LÄN</t>
        </is>
      </c>
      <c r="G135" t="inlineStr">
        <is>
          <t>ALINGSÅS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64070-2023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46304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46304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46304</v>
      </c>
      <c r="F138" t="inlineStr">
        <is>
          <t>VÄSTRA GÖTALANDS LÄN</t>
        </is>
      </c>
      <c r="G138" t="inlineStr">
        <is>
          <t>ALINGSÅS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46304</v>
      </c>
      <c r="F139" t="inlineStr">
        <is>
          <t>VÄSTRA GÖTALANDS LÄN</t>
        </is>
      </c>
      <c r="G139" t="inlineStr">
        <is>
          <t>ALINGSÅS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46304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46304</v>
      </c>
      <c r="F141" t="inlineStr">
        <is>
          <t>VÄSTRA GÖTALANDS LÄN</t>
        </is>
      </c>
      <c r="G141" t="inlineStr">
        <is>
          <t>ALINGSÅS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46304</v>
      </c>
      <c r="F142" t="inlineStr">
        <is>
          <t>VÄSTRA GÖTALANDS LÄN</t>
        </is>
      </c>
      <c r="G142" t="inlineStr">
        <is>
          <t>ALINGSÅS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45722</v>
      </c>
      <c r="E143" s="1" t="n">
        <v>46304</v>
      </c>
      <c r="F143" t="inlineStr">
        <is>
          <t>VÄSTRA GÖTALANDS LÄN</t>
        </is>
      </c>
      <c r="G143" t="inlineStr">
        <is>
          <t>ALINGSÅS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46304</v>
      </c>
      <c r="F144" t="inlineStr">
        <is>
          <t>VÄSTRA GÖTALANDS LÄN</t>
        </is>
      </c>
      <c r="G144" t="inlineStr">
        <is>
          <t>ALINGSÅS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46304</v>
      </c>
      <c r="F145" t="inlineStr">
        <is>
          <t>VÄSTRA GÖTALANDS LÄN</t>
        </is>
      </c>
      <c r="G145" t="inlineStr">
        <is>
          <t>ALINGSÅS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46304</v>
      </c>
      <c r="F146" t="inlineStr">
        <is>
          <t>VÄSTRA GÖTALANDS LÄN</t>
        </is>
      </c>
      <c r="G146" t="inlineStr">
        <is>
          <t>ALINGSÅS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46304</v>
      </c>
      <c r="F147" t="inlineStr">
        <is>
          <t>VÄSTRA GÖTALANDS LÄN</t>
        </is>
      </c>
      <c r="G147" t="inlineStr">
        <is>
          <t>ALINGSÅS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44596</v>
      </c>
      <c r="E148" s="1" t="n">
        <v>46304</v>
      </c>
      <c r="F148" t="inlineStr">
        <is>
          <t>VÄSTRA GÖTALANDS LÄN</t>
        </is>
      </c>
      <c r="G148" t="inlineStr">
        <is>
          <t>ALINGSÅS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46304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46122</v>
      </c>
      <c r="E150" s="1" t="n">
        <v>46304</v>
      </c>
      <c r="F150" t="inlineStr">
        <is>
          <t>VÄSTRA GÖTALANDS LÄN</t>
        </is>
      </c>
      <c r="G150" t="inlineStr">
        <is>
          <t>ALINGSÅS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46304</v>
      </c>
      <c r="F151" t="inlineStr">
        <is>
          <t>VÄSTRA GÖTALANDS LÄN</t>
        </is>
      </c>
      <c r="G151" t="inlineStr">
        <is>
          <t>ALINGSÅS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46304</v>
      </c>
      <c r="F152" t="inlineStr">
        <is>
          <t>VÄSTRA GÖTALANDS LÄN</t>
        </is>
      </c>
      <c r="G152" t="inlineStr">
        <is>
          <t>ALINGSÅS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17654-2026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46304</v>
      </c>
      <c r="F153" t="inlineStr">
        <is>
          <t>VÄSTRA GÖTALANDS LÄN</t>
        </is>
      </c>
      <c r="G153" t="inlineStr">
        <is>
          <t>ALINGSÅS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46304</v>
      </c>
      <c r="F154" t="inlineStr">
        <is>
          <t>VÄSTRA GÖTALANDS LÄN</t>
        </is>
      </c>
      <c r="G154" t="inlineStr">
        <is>
          <t>ALINGSÅS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54122-2025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46304</v>
      </c>
      <c r="F155" t="inlineStr">
        <is>
          <t>VÄSTRA GÖTALANDS LÄN</t>
        </is>
      </c>
      <c r="G155" t="inlineStr">
        <is>
          <t>ALINGSÅS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54073-2025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45964</v>
      </c>
      <c r="E156" s="1" t="n">
        <v>46304</v>
      </c>
      <c r="F156" t="inlineStr">
        <is>
          <t>VÄSTRA GÖTALANDS LÄN</t>
        </is>
      </c>
      <c r="G156" t="inlineStr">
        <is>
          <t>ALINGSÅS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18360-2026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46126</v>
      </c>
      <c r="E157" s="1" t="n">
        <v>46304</v>
      </c>
      <c r="F157" t="inlineStr">
        <is>
          <t>VÄSTRA GÖTALANDS LÄN</t>
        </is>
      </c>
      <c r="G157" t="inlineStr">
        <is>
          <t>ALINGSÅS</t>
        </is>
      </c>
      <c r="H157" t="inlineStr">
        <is>
          <t>Kommuner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46304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45966</v>
      </c>
      <c r="E159" s="1" t="n">
        <v>46304</v>
      </c>
      <c r="F159" t="inlineStr">
        <is>
          <t>VÄSTRA GÖTALANDS LÄN</t>
        </is>
      </c>
      <c r="G159" t="inlineStr">
        <is>
          <t>ALINGSÅS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46304</v>
      </c>
      <c r="F160" t="inlineStr">
        <is>
          <t>VÄSTRA GÖTALANDS LÄN</t>
        </is>
      </c>
      <c r="G160" t="inlineStr">
        <is>
          <t>ALINGSÅS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46304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46304</v>
      </c>
      <c r="F162" t="inlineStr">
        <is>
          <t>VÄSTRA GÖTALANDS LÄN</t>
        </is>
      </c>
      <c r="G162" t="inlineStr">
        <is>
          <t>ALINGSÅS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45257</v>
      </c>
      <c r="E163" s="1" t="n">
        <v>46304</v>
      </c>
      <c r="F163" t="inlineStr">
        <is>
          <t>VÄSTRA GÖTALANDS LÄN</t>
        </is>
      </c>
      <c r="G163" t="inlineStr">
        <is>
          <t>ALINGSÅS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46304</v>
      </c>
      <c r="F164" t="inlineStr">
        <is>
          <t>VÄSTRA GÖTALANDS LÄN</t>
        </is>
      </c>
      <c r="G164" t="inlineStr">
        <is>
          <t>ALINGSÅS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46304</v>
      </c>
      <c r="F165" t="inlineStr">
        <is>
          <t>VÄSTRA GÖTALANDS LÄN</t>
        </is>
      </c>
      <c r="G165" t="inlineStr">
        <is>
          <t>ALINGSÅS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46304</v>
      </c>
      <c r="F166" t="inlineStr">
        <is>
          <t>VÄSTRA GÖTALANDS LÄN</t>
        </is>
      </c>
      <c r="G166" t="inlineStr">
        <is>
          <t>ALINGSÅS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45973</v>
      </c>
      <c r="E167" s="1" t="n">
        <v>46304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46129</v>
      </c>
      <c r="E168" s="1" t="n">
        <v>46304</v>
      </c>
      <c r="F168" t="inlineStr">
        <is>
          <t>VÄSTRA GÖTALANDS LÄN</t>
        </is>
      </c>
      <c r="G168" t="inlineStr">
        <is>
          <t>ALINGSÅS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46127</v>
      </c>
      <c r="E169" s="1" t="n">
        <v>46304</v>
      </c>
      <c r="F169" t="inlineStr">
        <is>
          <t>VÄSTRA GÖTALANDS LÄN</t>
        </is>
      </c>
      <c r="G169" t="inlineStr">
        <is>
          <t>ALINGSÅS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46304</v>
      </c>
      <c r="F170" t="inlineStr">
        <is>
          <t>VÄSTRA GÖTALANDS LÄN</t>
        </is>
      </c>
      <c r="G170" t="inlineStr">
        <is>
          <t>ALINGSÅS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44832</v>
      </c>
      <c r="E171" s="1" t="n">
        <v>46304</v>
      </c>
      <c r="F171" t="inlineStr">
        <is>
          <t>VÄSTRA GÖTALANDS LÄN</t>
        </is>
      </c>
      <c r="G171" t="inlineStr">
        <is>
          <t>ALINGSÅS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44729</v>
      </c>
      <c r="E172" s="1" t="n">
        <v>46304</v>
      </c>
      <c r="F172" t="inlineStr">
        <is>
          <t>VÄSTRA GÖTALANDS LÄN</t>
        </is>
      </c>
      <c r="G172" t="inlineStr">
        <is>
          <t>ALINGSÅS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46131</v>
      </c>
      <c r="E173" s="1" t="n">
        <v>46304</v>
      </c>
      <c r="F173" t="inlineStr">
        <is>
          <t>VÄSTRA GÖTALANDS LÄN</t>
        </is>
      </c>
      <c r="G173" t="inlineStr">
        <is>
          <t>ALINGSÅS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46304</v>
      </c>
      <c r="F174" t="inlineStr">
        <is>
          <t>VÄSTRA GÖTALANDS LÄN</t>
        </is>
      </c>
      <c r="G174" t="inlineStr">
        <is>
          <t>ALINGSÅS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45427</v>
      </c>
      <c r="E175" s="1" t="n">
        <v>46304</v>
      </c>
      <c r="F175" t="inlineStr">
        <is>
          <t>VÄSTRA GÖTALANDS LÄN</t>
        </is>
      </c>
      <c r="G175" t="inlineStr">
        <is>
          <t>ALINGSÅS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46304</v>
      </c>
      <c r="F176" t="inlineStr">
        <is>
          <t>VÄSTRA GÖTALANDS LÄN</t>
        </is>
      </c>
      <c r="G176" t="inlineStr">
        <is>
          <t>ALINGSÅS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22186-2025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45785</v>
      </c>
      <c r="E177" s="1" t="n">
        <v>46304</v>
      </c>
      <c r="F177" t="inlineStr">
        <is>
          <t>VÄSTRA GÖTALANDS LÄN</t>
        </is>
      </c>
      <c r="G177" t="inlineStr">
        <is>
          <t>ALINGSÅS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46304</v>
      </c>
      <c r="F178" t="inlineStr">
        <is>
          <t>VÄSTRA GÖTALANDS LÄN</t>
        </is>
      </c>
      <c r="G178" t="inlineStr">
        <is>
          <t>ALINGSÅS</t>
        </is>
      </c>
      <c r="H178" t="inlineStr">
        <is>
          <t>Kyrkan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46304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Kyrkan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45412</v>
      </c>
      <c r="E180" s="1" t="n">
        <v>46304</v>
      </c>
      <c r="F180" t="inlineStr">
        <is>
          <t>VÄSTRA GÖTALANDS LÄN</t>
        </is>
      </c>
      <c r="G180" t="inlineStr">
        <is>
          <t>ALINGSÅS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45310</v>
      </c>
      <c r="E181" s="1" t="n">
        <v>46304</v>
      </c>
      <c r="F181" t="inlineStr">
        <is>
          <t>VÄSTRA GÖTALANDS LÄN</t>
        </is>
      </c>
      <c r="G181" t="inlineStr">
        <is>
          <t>ALINGSÅS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46304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46304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46304</v>
      </c>
      <c r="F184" t="inlineStr">
        <is>
          <t>VÄSTRA GÖTALANDS LÄN</t>
        </is>
      </c>
      <c r="G184" t="inlineStr">
        <is>
          <t>ALINGSÅS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44821</v>
      </c>
      <c r="E185" s="1" t="n">
        <v>46304</v>
      </c>
      <c r="F185" t="inlineStr">
        <is>
          <t>VÄSTRA GÖTALANDS LÄN</t>
        </is>
      </c>
      <c r="G185" t="inlineStr">
        <is>
          <t>ALINGSÅS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46304</v>
      </c>
      <c r="F186" t="inlineStr">
        <is>
          <t>VÄSTRA GÖTALANDS LÄN</t>
        </is>
      </c>
      <c r="G186" t="inlineStr">
        <is>
          <t>ALINGSÅS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46304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45380</v>
      </c>
      <c r="E188" s="1" t="n">
        <v>46304</v>
      </c>
      <c r="F188" t="inlineStr">
        <is>
          <t>VÄSTRA GÖTALANDS LÄN</t>
        </is>
      </c>
      <c r="G188" t="inlineStr">
        <is>
          <t>ALINGSÅS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46304</v>
      </c>
      <c r="F189" t="inlineStr">
        <is>
          <t>VÄSTRA GÖTALANDS LÄN</t>
        </is>
      </c>
      <c r="G189" t="inlineStr">
        <is>
          <t>ALINGSÅS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46304</v>
      </c>
      <c r="F190" t="inlineStr">
        <is>
          <t>VÄSTRA GÖTALANDS LÄN</t>
        </is>
      </c>
      <c r="G190" t="inlineStr">
        <is>
          <t>ALINGSÅS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46304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46304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46304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46304</v>
      </c>
      <c r="F194" t="inlineStr">
        <is>
          <t>VÄSTRA GÖTALANDS LÄN</t>
        </is>
      </c>
      <c r="G194" t="inlineStr">
        <is>
          <t>ALINGSÅS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46304</v>
      </c>
      <c r="F195" t="inlineStr">
        <is>
          <t>VÄSTRA GÖTALANDS LÄN</t>
        </is>
      </c>
      <c r="G195" t="inlineStr">
        <is>
          <t>ALINGSÅS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46304</v>
      </c>
      <c r="F196" t="inlineStr">
        <is>
          <t>VÄSTRA GÖTALANDS LÄN</t>
        </is>
      </c>
      <c r="G196" t="inlineStr">
        <is>
          <t>ALINGSÅS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46304</v>
      </c>
      <c r="F197" t="inlineStr">
        <is>
          <t>VÄSTRA GÖTALANDS LÄN</t>
        </is>
      </c>
      <c r="G197" t="inlineStr">
        <is>
          <t>ALINGSÅS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45772</v>
      </c>
      <c r="E198" s="1" t="n">
        <v>46304</v>
      </c>
      <c r="F198" t="inlineStr">
        <is>
          <t>VÄSTRA GÖTALANDS LÄN</t>
        </is>
      </c>
      <c r="G198" t="inlineStr">
        <is>
          <t>ALINGSÅS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46304</v>
      </c>
      <c r="F199" t="inlineStr">
        <is>
          <t>VÄSTRA GÖTALANDS LÄN</t>
        </is>
      </c>
      <c r="G199" t="inlineStr">
        <is>
          <t>ALINGSÅS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46304</v>
      </c>
      <c r="F200" t="inlineStr">
        <is>
          <t>VÄSTRA GÖTALANDS LÄN</t>
        </is>
      </c>
      <c r="G200" t="inlineStr">
        <is>
          <t>ALINGSÅS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46304</v>
      </c>
      <c r="F201" t="inlineStr">
        <is>
          <t>VÄSTRA GÖTALANDS LÄN</t>
        </is>
      </c>
      <c r="G201" t="inlineStr">
        <is>
          <t>ALINGSÅS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46304</v>
      </c>
      <c r="F202" t="inlineStr">
        <is>
          <t>VÄSTRA GÖTALANDS LÄN</t>
        </is>
      </c>
      <c r="G202" t="inlineStr">
        <is>
          <t>ALINGSÅS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46304</v>
      </c>
      <c r="F203" t="inlineStr">
        <is>
          <t>VÄSTRA GÖTALANDS LÄN</t>
        </is>
      </c>
      <c r="G203" t="inlineStr">
        <is>
          <t>ALINGSÅS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46304</v>
      </c>
      <c r="F204" t="inlineStr">
        <is>
          <t>VÄSTRA GÖTALANDS LÄN</t>
        </is>
      </c>
      <c r="G204" t="inlineStr">
        <is>
          <t>ALINGSÅS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46304</v>
      </c>
      <c r="F205" t="inlineStr">
        <is>
          <t>VÄSTRA GÖTALANDS LÄN</t>
        </is>
      </c>
      <c r="G205" t="inlineStr">
        <is>
          <t>ALINGSÅS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46304</v>
      </c>
      <c r="F206" t="inlineStr">
        <is>
          <t>VÄSTRA GÖTALANDS LÄN</t>
        </is>
      </c>
      <c r="G206" t="inlineStr">
        <is>
          <t>ALINGSÅS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45265</v>
      </c>
      <c r="E207" s="1" t="n">
        <v>46304</v>
      </c>
      <c r="F207" t="inlineStr">
        <is>
          <t>VÄSTRA GÖTALANDS LÄN</t>
        </is>
      </c>
      <c r="G207" t="inlineStr">
        <is>
          <t>ALINGSÅS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46304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45399</v>
      </c>
      <c r="E209" s="1" t="n">
        <v>46304</v>
      </c>
      <c r="F209" t="inlineStr">
        <is>
          <t>VÄSTRA GÖTALANDS LÄN</t>
        </is>
      </c>
      <c r="G209" t="inlineStr">
        <is>
          <t>ALINGSÅS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45589</v>
      </c>
      <c r="E210" s="1" t="n">
        <v>46304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44831</v>
      </c>
      <c r="E211" s="1" t="n">
        <v>46304</v>
      </c>
      <c r="F211" t="inlineStr">
        <is>
          <t>VÄSTRA GÖTALANDS LÄN</t>
        </is>
      </c>
      <c r="G211" t="inlineStr">
        <is>
          <t>ALINGSÅS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46304</v>
      </c>
      <c r="F212" t="inlineStr">
        <is>
          <t>VÄSTRA GÖTALANDS LÄN</t>
        </is>
      </c>
      <c r="G212" t="inlineStr">
        <is>
          <t>ALINGSÅS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45075</v>
      </c>
      <c r="E213" s="1" t="n">
        <v>46304</v>
      </c>
      <c r="F213" t="inlineStr">
        <is>
          <t>VÄSTRA GÖTALANDS LÄN</t>
        </is>
      </c>
      <c r="G213" t="inlineStr">
        <is>
          <t>ALINGSÅS</t>
        </is>
      </c>
      <c r="I213" t="n">
        <v>13.1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33490-2025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46304</v>
      </c>
      <c r="F214" t="inlineStr">
        <is>
          <t>VÄSTRA GÖTALANDS LÄN</t>
        </is>
      </c>
      <c r="G214" t="inlineStr">
        <is>
          <t>ALINGSÅS</t>
        </is>
      </c>
      <c r="I214" t="n">
        <v>7.9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46304</v>
      </c>
      <c r="F215" t="inlineStr">
        <is>
          <t>VÄSTRA GÖTALANDS LÄN</t>
        </is>
      </c>
      <c r="G215" t="inlineStr">
        <is>
          <t>ALINGSÅS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44957</v>
      </c>
      <c r="E216" s="1" t="n">
        <v>46304</v>
      </c>
      <c r="F216" t="inlineStr">
        <is>
          <t>VÄSTRA GÖTALANDS LÄN</t>
        </is>
      </c>
      <c r="G216" t="inlineStr">
        <is>
          <t>ALINGSÅS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46304</v>
      </c>
      <c r="F217" t="inlineStr">
        <is>
          <t>VÄSTRA GÖTALANDS LÄN</t>
        </is>
      </c>
      <c r="G217" t="inlineStr">
        <is>
          <t>ALINGSÅS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46304</v>
      </c>
      <c r="F218" t="inlineStr">
        <is>
          <t>VÄSTRA GÖTALANDS LÄN</t>
        </is>
      </c>
      <c r="G218" t="inlineStr">
        <is>
          <t>ALINGSÅS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46304</v>
      </c>
      <c r="F219" t="inlineStr">
        <is>
          <t>VÄSTRA GÖTALANDS LÄN</t>
        </is>
      </c>
      <c r="G219" t="inlineStr">
        <is>
          <t>ALINGSÅS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44852</v>
      </c>
      <c r="E220" s="1" t="n">
        <v>46304</v>
      </c>
      <c r="F220" t="inlineStr">
        <is>
          <t>VÄSTRA GÖTALANDS LÄN</t>
        </is>
      </c>
      <c r="G220" t="inlineStr">
        <is>
          <t>ALINGSÅS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46304</v>
      </c>
      <c r="F221" t="inlineStr">
        <is>
          <t>VÄSTRA GÖTALANDS LÄN</t>
        </is>
      </c>
      <c r="G221" t="inlineStr">
        <is>
          <t>ALINGSÅS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44964</v>
      </c>
      <c r="E222" s="1" t="n">
        <v>46304</v>
      </c>
      <c r="F222" t="inlineStr">
        <is>
          <t>VÄSTRA GÖTALANDS LÄN</t>
        </is>
      </c>
      <c r="G222" t="inlineStr">
        <is>
          <t>ALINGSÅS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46304</v>
      </c>
      <c r="F223" t="inlineStr">
        <is>
          <t>VÄSTRA GÖTALANDS LÄN</t>
        </is>
      </c>
      <c r="G223" t="inlineStr">
        <is>
          <t>ALINGSÅS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45152</v>
      </c>
      <c r="E224" s="1" t="n">
        <v>46304</v>
      </c>
      <c r="F224" t="inlineStr">
        <is>
          <t>VÄSTRA GÖTALANDS LÄN</t>
        </is>
      </c>
      <c r="G224" t="inlineStr">
        <is>
          <t>ALINGSÅS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46304</v>
      </c>
      <c r="F225" t="inlineStr">
        <is>
          <t>VÄSTRA GÖTALANDS LÄN</t>
        </is>
      </c>
      <c r="G225" t="inlineStr">
        <is>
          <t>ALINGSÅS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46304</v>
      </c>
      <c r="F226" t="inlineStr">
        <is>
          <t>VÄSTRA GÖTALANDS LÄN</t>
        </is>
      </c>
      <c r="G226" t="inlineStr">
        <is>
          <t>ALINGSÅS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46304</v>
      </c>
      <c r="F227" t="inlineStr">
        <is>
          <t>VÄSTRA GÖTALANDS LÄN</t>
        </is>
      </c>
      <c r="G227" t="inlineStr">
        <is>
          <t>ALINGSÅS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46304</v>
      </c>
      <c r="F228" t="inlineStr">
        <is>
          <t>VÄSTRA GÖTALANDS LÄN</t>
        </is>
      </c>
      <c r="G228" t="inlineStr">
        <is>
          <t>ALINGSÅS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46304</v>
      </c>
      <c r="F229" t="inlineStr">
        <is>
          <t>VÄSTRA GÖTALANDS LÄN</t>
        </is>
      </c>
      <c r="G229" t="inlineStr">
        <is>
          <t>ALINGSÅS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46304</v>
      </c>
      <c r="F230" t="inlineStr">
        <is>
          <t>VÄSTRA GÖTALANDS LÄN</t>
        </is>
      </c>
      <c r="G230" t="inlineStr">
        <is>
          <t>ALINGSÅS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45378</v>
      </c>
      <c r="E231" s="1" t="n">
        <v>46304</v>
      </c>
      <c r="F231" t="inlineStr">
        <is>
          <t>VÄSTRA GÖTALANDS LÄN</t>
        </is>
      </c>
      <c r="G231" t="inlineStr">
        <is>
          <t>ALINGSÅS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44855</v>
      </c>
      <c r="E232" s="1" t="n">
        <v>46304</v>
      </c>
      <c r="F232" t="inlineStr">
        <is>
          <t>VÄSTRA GÖTALANDS LÄN</t>
        </is>
      </c>
      <c r="G232" t="inlineStr">
        <is>
          <t>ALINGSÅS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46304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46304</v>
      </c>
      <c r="F234" t="inlineStr">
        <is>
          <t>VÄSTRA GÖTALANDS LÄN</t>
        </is>
      </c>
      <c r="G234" t="inlineStr">
        <is>
          <t>ALINGSÅS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46304</v>
      </c>
      <c r="F235" t="inlineStr">
        <is>
          <t>VÄSTRA GÖTALANDS LÄN</t>
        </is>
      </c>
      <c r="G235" t="inlineStr">
        <is>
          <t>ALINGSÅS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46304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46304</v>
      </c>
      <c r="F237" t="inlineStr">
        <is>
          <t>VÄSTRA GÖTALANDS LÄN</t>
        </is>
      </c>
      <c r="G237" t="inlineStr">
        <is>
          <t>ALINGSÅS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46304</v>
      </c>
      <c r="F238" t="inlineStr">
        <is>
          <t>VÄSTRA GÖTALANDS LÄN</t>
        </is>
      </c>
      <c r="G238" t="inlineStr">
        <is>
          <t>ALINGSÅS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46304</v>
      </c>
      <c r="F239" t="inlineStr">
        <is>
          <t>VÄSTRA GÖTALANDS LÄN</t>
        </is>
      </c>
      <c r="G239" t="inlineStr">
        <is>
          <t>ALINGSÅS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45349</v>
      </c>
      <c r="E240" s="1" t="n">
        <v>46304</v>
      </c>
      <c r="F240" t="inlineStr">
        <is>
          <t>VÄSTRA GÖTALANDS LÄN</t>
        </is>
      </c>
      <c r="G240" t="inlineStr">
        <is>
          <t>ALINGSÅS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46304</v>
      </c>
      <c r="F241" t="inlineStr">
        <is>
          <t>VÄSTRA GÖTALANDS LÄN</t>
        </is>
      </c>
      <c r="G241" t="inlineStr">
        <is>
          <t>ALINGSÅS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45546</v>
      </c>
      <c r="E242" s="1" t="n">
        <v>46304</v>
      </c>
      <c r="F242" t="inlineStr">
        <is>
          <t>VÄSTRA GÖTALANDS LÄN</t>
        </is>
      </c>
      <c r="G242" t="inlineStr">
        <is>
          <t>ALINGSÅS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45576</v>
      </c>
      <c r="E243" s="1" t="n">
        <v>46304</v>
      </c>
      <c r="F243" t="inlineStr">
        <is>
          <t>VÄSTRA GÖTALANDS LÄN</t>
        </is>
      </c>
      <c r="G243" t="inlineStr">
        <is>
          <t>ALINGSÅS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46304</v>
      </c>
      <c r="F244" t="inlineStr">
        <is>
          <t>VÄSTRA GÖTALANDS LÄN</t>
        </is>
      </c>
      <c r="G244" t="inlineStr">
        <is>
          <t>ALINGSÅS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45011</v>
      </c>
      <c r="E245" s="1" t="n">
        <v>46304</v>
      </c>
      <c r="F245" t="inlineStr">
        <is>
          <t>VÄSTRA GÖTALANDS LÄN</t>
        </is>
      </c>
      <c r="G245" t="inlineStr">
        <is>
          <t>ALINGSÅS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46304</v>
      </c>
      <c r="F246" t="inlineStr">
        <is>
          <t>VÄSTRA GÖTALANDS LÄN</t>
        </is>
      </c>
      <c r="G246" t="inlineStr">
        <is>
          <t>ALINGSÅS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46304</v>
      </c>
      <c r="F247" t="inlineStr">
        <is>
          <t>VÄSTRA GÖTALANDS LÄN</t>
        </is>
      </c>
      <c r="G247" t="inlineStr">
        <is>
          <t>ALINGSÅS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12318-2022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44637</v>
      </c>
      <c r="E248" s="1" t="n">
        <v>46304</v>
      </c>
      <c r="F248" t="inlineStr">
        <is>
          <t>VÄSTRA GÖTALANDS LÄN</t>
        </is>
      </c>
      <c r="G248" t="inlineStr">
        <is>
          <t>ALINGSÅS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46304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46304</v>
      </c>
      <c r="F250" t="inlineStr">
        <is>
          <t>VÄSTRA GÖTALANDS LÄN</t>
        </is>
      </c>
      <c r="G250" t="inlineStr">
        <is>
          <t>ALINGSÅS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46304</v>
      </c>
      <c r="F251" t="inlineStr">
        <is>
          <t>VÄSTRA GÖTALANDS LÄN</t>
        </is>
      </c>
      <c r="G251" t="inlineStr">
        <is>
          <t>ALINGSÅS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46191</v>
      </c>
      <c r="E252" s="1" t="n">
        <v>46304</v>
      </c>
      <c r="F252" t="inlineStr">
        <is>
          <t>VÄSTRA GÖTALANDS LÄN</t>
        </is>
      </c>
      <c r="G252" t="inlineStr">
        <is>
          <t>ALINGSÅS</t>
        </is>
      </c>
      <c r="I252" t="n">
        <v>21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45156</v>
      </c>
      <c r="E253" s="1" t="n">
        <v>46304</v>
      </c>
      <c r="F253" t="inlineStr">
        <is>
          <t>VÄSTRA GÖTALANDS LÄN</t>
        </is>
      </c>
      <c r="G253" t="inlineStr">
        <is>
          <t>ALINGSÅS</t>
        </is>
      </c>
      <c r="H253" t="inlineStr">
        <is>
          <t>Kyrkan</t>
        </is>
      </c>
      <c r="I253" t="n">
        <v>9.199999999999999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45465</v>
      </c>
      <c r="E254" s="1" t="n">
        <v>46304</v>
      </c>
      <c r="F254" t="inlineStr">
        <is>
          <t>VÄSTRA GÖTALANDS LÄN</t>
        </is>
      </c>
      <c r="G254" t="inlineStr">
        <is>
          <t>ALINGSÅS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45630</v>
      </c>
      <c r="E255" s="1" t="n">
        <v>46304</v>
      </c>
      <c r="F255" t="inlineStr">
        <is>
          <t>VÄSTRA GÖTALANDS LÄN</t>
        </is>
      </c>
      <c r="G255" t="inlineStr">
        <is>
          <t>ALINGSÅS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44949</v>
      </c>
      <c r="E256" s="1" t="n">
        <v>46304</v>
      </c>
      <c r="F256" t="inlineStr">
        <is>
          <t>VÄSTRA GÖTALANDS LÄN</t>
        </is>
      </c>
      <c r="G256" t="inlineStr">
        <is>
          <t>ALINGSÅS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45440</v>
      </c>
      <c r="E257" s="1" t="n">
        <v>46304</v>
      </c>
      <c r="F257" t="inlineStr">
        <is>
          <t>VÄSTRA GÖTALANDS LÄN</t>
        </is>
      </c>
      <c r="G257" t="inlineStr">
        <is>
          <t>ALINGSÅS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45271</v>
      </c>
      <c r="E258" s="1" t="n">
        <v>46304</v>
      </c>
      <c r="F258" t="inlineStr">
        <is>
          <t>VÄSTRA GÖTALANDS LÄN</t>
        </is>
      </c>
      <c r="G258" t="inlineStr">
        <is>
          <t>ALINGSÅS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45015</v>
      </c>
      <c r="E259" s="1" t="n">
        <v>46304</v>
      </c>
      <c r="F259" t="inlineStr">
        <is>
          <t>VÄSTRA GÖTALANDS LÄN</t>
        </is>
      </c>
      <c r="G259" t="inlineStr">
        <is>
          <t>ALINGSÅS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44977</v>
      </c>
      <c r="E260" s="1" t="n">
        <v>46304</v>
      </c>
      <c r="F260" t="inlineStr">
        <is>
          <t>VÄSTRA GÖTALANDS LÄN</t>
        </is>
      </c>
      <c r="G260" t="inlineStr">
        <is>
          <t>ALINGSÅS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46304</v>
      </c>
      <c r="F261" t="inlineStr">
        <is>
          <t>VÄSTRA GÖTALANDS LÄN</t>
        </is>
      </c>
      <c r="G261" t="inlineStr">
        <is>
          <t>ALINGSÅS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46304</v>
      </c>
      <c r="F262" t="inlineStr">
        <is>
          <t>VÄSTRA GÖTALANDS LÄN</t>
        </is>
      </c>
      <c r="G262" t="inlineStr">
        <is>
          <t>ALINGSÅS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44816</v>
      </c>
      <c r="E263" s="1" t="n">
        <v>46304</v>
      </c>
      <c r="F263" t="inlineStr">
        <is>
          <t>VÄSTRA GÖTALANDS LÄN</t>
        </is>
      </c>
      <c r="G263" t="inlineStr">
        <is>
          <t>ALINGSÅS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45173</v>
      </c>
      <c r="E264" s="1" t="n">
        <v>46304</v>
      </c>
      <c r="F264" t="inlineStr">
        <is>
          <t>VÄSTRA GÖTALANDS LÄN</t>
        </is>
      </c>
      <c r="G264" t="inlineStr">
        <is>
          <t>ALINGSÅS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46262</v>
      </c>
      <c r="E265" s="1" t="n">
        <v>46304</v>
      </c>
      <c r="F265" t="inlineStr">
        <is>
          <t>VÄSTRA GÖTALANDS LÄN</t>
        </is>
      </c>
      <c r="G265" t="inlineStr">
        <is>
          <t>ALINGSÅS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36000-2026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46266</v>
      </c>
      <c r="E266" s="1" t="n">
        <v>46304</v>
      </c>
      <c r="F266" t="inlineStr">
        <is>
          <t>VÄSTRA GÖTALANDS LÄN</t>
        </is>
      </c>
      <c r="G266" t="inlineStr">
        <is>
          <t>ALINGSÅS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46304</v>
      </c>
      <c r="F267" t="inlineStr">
        <is>
          <t>VÄSTRA GÖTALANDS LÄN</t>
        </is>
      </c>
      <c r="G267" t="inlineStr">
        <is>
          <t>ALINGSÅS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45465</v>
      </c>
      <c r="E268" s="1" t="n">
        <v>46304</v>
      </c>
      <c r="F268" t="inlineStr">
        <is>
          <t>VÄSTRA GÖTALANDS LÄN</t>
        </is>
      </c>
      <c r="G268" t="inlineStr">
        <is>
          <t>ALINGSÅS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45429</v>
      </c>
      <c r="E269" s="1" t="n">
        <v>46304</v>
      </c>
      <c r="F269" t="inlineStr">
        <is>
          <t>VÄSTRA GÖTALANDS LÄN</t>
        </is>
      </c>
      <c r="G269" t="inlineStr">
        <is>
          <t>ALINGSÅS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45177</v>
      </c>
      <c r="E270" s="1" t="n">
        <v>46304</v>
      </c>
      <c r="F270" t="inlineStr">
        <is>
          <t>VÄSTRA GÖTALANDS LÄN</t>
        </is>
      </c>
      <c r="G270" t="inlineStr">
        <is>
          <t>ALINGSÅS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46232</v>
      </c>
      <c r="E271" s="1" t="n">
        <v>46304</v>
      </c>
      <c r="F271" t="inlineStr">
        <is>
          <t>VÄSTRA GÖTALANDS LÄN</t>
        </is>
      </c>
      <c r="G271" t="inlineStr">
        <is>
          <t>ALINGSÅS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46304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45721</v>
      </c>
      <c r="E273" s="1" t="n">
        <v>46304</v>
      </c>
      <c r="F273" t="inlineStr">
        <is>
          <t>VÄSTRA GÖTALANDS LÄN</t>
        </is>
      </c>
      <c r="G273" t="inlineStr">
        <is>
          <t>ALINGSÅS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46282</v>
      </c>
      <c r="E274" s="1" t="n">
        <v>46304</v>
      </c>
      <c r="F274" t="inlineStr">
        <is>
          <t>VÄSTRA GÖTALANDS LÄN</t>
        </is>
      </c>
      <c r="G274" t="inlineStr">
        <is>
          <t>ALINGSÅS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33491-2024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45519</v>
      </c>
      <c r="E275" s="1" t="n">
        <v>46304</v>
      </c>
      <c r="F275" t="inlineStr">
        <is>
          <t>VÄSTRA GÖTALANDS LÄN</t>
        </is>
      </c>
      <c r="G275" t="inlineStr">
        <is>
          <t>ALINGSÅS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46304</v>
      </c>
      <c r="F276" t="inlineStr">
        <is>
          <t>VÄSTRA GÖTALANDS LÄN</t>
        </is>
      </c>
      <c r="G276" t="inlineStr">
        <is>
          <t>ALINGSÅS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46304</v>
      </c>
      <c r="F277" t="inlineStr">
        <is>
          <t>VÄSTRA GÖTALANDS LÄN</t>
        </is>
      </c>
      <c r="G277" t="inlineStr">
        <is>
          <t>ALINGSÅS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46246</v>
      </c>
      <c r="E278" s="1" t="n">
        <v>46304</v>
      </c>
      <c r="F278" t="inlineStr">
        <is>
          <t>VÄSTRA GÖTALANDS LÄN</t>
        </is>
      </c>
      <c r="G278" t="inlineStr">
        <is>
          <t>ALINGSÅS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46289</v>
      </c>
      <c r="E279" s="1" t="n">
        <v>46304</v>
      </c>
      <c r="F279" t="inlineStr">
        <is>
          <t>VÄSTRA GÖTALANDS LÄN</t>
        </is>
      </c>
      <c r="G279" t="inlineStr">
        <is>
          <t>ALINGSÅS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46304</v>
      </c>
      <c r="F280" t="inlineStr">
        <is>
          <t>VÄSTRA GÖTALANDS LÄN</t>
        </is>
      </c>
      <c r="G280" t="inlineStr">
        <is>
          <t>ALINGSÅS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45510</v>
      </c>
      <c r="E281" s="1" t="n">
        <v>46304</v>
      </c>
      <c r="F281" t="inlineStr">
        <is>
          <t>VÄSTRA GÖTALANDS LÄN</t>
        </is>
      </c>
      <c r="G281" t="inlineStr">
        <is>
          <t>ALINGSÅS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46304</v>
      </c>
      <c r="F282" t="inlineStr">
        <is>
          <t>VÄSTRA GÖTALANDS LÄN</t>
        </is>
      </c>
      <c r="G282" t="inlineStr">
        <is>
          <t>ALINGSÅS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46304</v>
      </c>
      <c r="F283" t="inlineStr">
        <is>
          <t>VÄSTRA GÖTALANDS LÄN</t>
        </is>
      </c>
      <c r="G283" t="inlineStr">
        <is>
          <t>ALINGSÅS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46304</v>
      </c>
      <c r="F284" t="inlineStr">
        <is>
          <t>VÄSTRA GÖTALANDS LÄN</t>
        </is>
      </c>
      <c r="G284" t="inlineStr">
        <is>
          <t>ALINGSÅS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46290</v>
      </c>
      <c r="E285" s="1" t="n">
        <v>46304</v>
      </c>
      <c r="F285" t="inlineStr">
        <is>
          <t>VÄSTRA GÖTALANDS LÄN</t>
        </is>
      </c>
      <c r="G285" t="inlineStr">
        <is>
          <t>ALINGSÅS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46304</v>
      </c>
      <c r="F286" t="inlineStr">
        <is>
          <t>VÄSTRA GÖTALANDS LÄN</t>
        </is>
      </c>
      <c r="G286" t="inlineStr">
        <is>
          <t>ALINGSÅS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46304</v>
      </c>
      <c r="F287" t="inlineStr">
        <is>
          <t>VÄSTRA GÖTALANDS LÄN</t>
        </is>
      </c>
      <c r="G287" t="inlineStr">
        <is>
          <t>ALINGSÅS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45805</v>
      </c>
      <c r="E288" s="1" t="n">
        <v>46304</v>
      </c>
      <c r="F288" t="inlineStr">
        <is>
          <t>VÄSTRA GÖTALANDS LÄN</t>
        </is>
      </c>
      <c r="G288" t="inlineStr">
        <is>
          <t>ALINGSÅS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46304</v>
      </c>
      <c r="F289" t="inlineStr">
        <is>
          <t>VÄSTRA GÖTALANDS LÄN</t>
        </is>
      </c>
      <c r="G289" t="inlineStr">
        <is>
          <t>ALINGSÅS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46304</v>
      </c>
      <c r="F290" t="inlineStr">
        <is>
          <t>VÄSTRA GÖTALANDS LÄN</t>
        </is>
      </c>
      <c r="G290" t="inlineStr">
        <is>
          <t>ALINGSÅS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46290</v>
      </c>
      <c r="E291" s="1" t="n">
        <v>46304</v>
      </c>
      <c r="F291" t="inlineStr">
        <is>
          <t>VÄSTRA GÖTALANDS LÄN</t>
        </is>
      </c>
      <c r="G291" t="inlineStr">
        <is>
          <t>ALINGSÅS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45617</v>
      </c>
      <c r="E292" s="1" t="n">
        <v>46304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46304</v>
      </c>
      <c r="F293" t="inlineStr">
        <is>
          <t>VÄSTRA GÖTALANDS LÄN</t>
        </is>
      </c>
      <c r="G293" t="inlineStr">
        <is>
          <t>ALINGSÅS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46304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46304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46304</v>
      </c>
      <c r="F296" t="inlineStr">
        <is>
          <t>VÄSTRA GÖTALANDS LÄN</t>
        </is>
      </c>
      <c r="G296" t="inlineStr">
        <is>
          <t>ALINGSÅS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39612-2026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46289</v>
      </c>
      <c r="E297" s="1" t="n">
        <v>46304</v>
      </c>
      <c r="F297" t="inlineStr">
        <is>
          <t>VÄSTRA GÖTALANDS LÄN</t>
        </is>
      </c>
      <c r="G297" t="inlineStr">
        <is>
          <t>ALINGSÅS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45818</v>
      </c>
      <c r="E298" s="1" t="n">
        <v>46304</v>
      </c>
      <c r="F298" t="inlineStr">
        <is>
          <t>VÄSTRA GÖTALANDS LÄN</t>
        </is>
      </c>
      <c r="G298" t="inlineStr">
        <is>
          <t>ALINGSÅS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45721</v>
      </c>
      <c r="E299" s="1" t="n">
        <v>46304</v>
      </c>
      <c r="F299" t="inlineStr">
        <is>
          <t>VÄSTRA GÖTALANDS LÄN</t>
        </is>
      </c>
      <c r="G299" t="inlineStr">
        <is>
          <t>ALINGSÅS</t>
        </is>
      </c>
      <c r="H299" t="inlineStr">
        <is>
          <t>Kyrkan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46304</v>
      </c>
      <c r="F300" t="inlineStr">
        <is>
          <t>VÄSTRA GÖTALANDS LÄN</t>
        </is>
      </c>
      <c r="G300" t="inlineStr">
        <is>
          <t>ALINGSÅS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46304</v>
      </c>
      <c r="F301" t="inlineStr">
        <is>
          <t>VÄSTRA GÖTALANDS LÄN</t>
        </is>
      </c>
      <c r="G301" t="inlineStr">
        <is>
          <t>ALINGSÅS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46304</v>
      </c>
      <c r="F302" t="inlineStr">
        <is>
          <t>VÄSTRA GÖTALANDS LÄN</t>
        </is>
      </c>
      <c r="G302" t="inlineStr">
        <is>
          <t>ALINGSÅS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46304</v>
      </c>
      <c r="F303" t="inlineStr">
        <is>
          <t>VÄSTRA GÖTALANDS LÄN</t>
        </is>
      </c>
      <c r="G303" t="inlineStr">
        <is>
          <t>ALINGSÅS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46304</v>
      </c>
      <c r="F304" t="inlineStr">
        <is>
          <t>VÄSTRA GÖTALANDS LÄN</t>
        </is>
      </c>
      <c r="G304" t="inlineStr">
        <is>
          <t>ALINGSÅS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46294</v>
      </c>
      <c r="E305" s="1" t="n">
        <v>46304</v>
      </c>
      <c r="F305" t="inlineStr">
        <is>
          <t>VÄSTRA GÖTALANDS LÄN</t>
        </is>
      </c>
      <c r="G305" t="inlineStr">
        <is>
          <t>ALINGSÅS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46296</v>
      </c>
      <c r="E306" s="1" t="n">
        <v>46304</v>
      </c>
      <c r="F306" t="inlineStr">
        <is>
          <t>VÄSTRA GÖTALANDS LÄN</t>
        </is>
      </c>
      <c r="G306" t="inlineStr">
        <is>
          <t>ALINGSÅS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46296</v>
      </c>
      <c r="E307" s="1" t="n">
        <v>46304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46296</v>
      </c>
      <c r="E308" s="1" t="n">
        <v>46304</v>
      </c>
      <c r="F308" t="inlineStr">
        <is>
          <t>VÄSTRA GÖTALANDS LÄN</t>
        </is>
      </c>
      <c r="G308" t="inlineStr">
        <is>
          <t>ALINGSÅS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46296</v>
      </c>
      <c r="E309" s="1" t="n">
        <v>46304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46304</v>
      </c>
      <c r="F310" t="inlineStr">
        <is>
          <t>VÄSTRA GÖTALANDS LÄN</t>
        </is>
      </c>
      <c r="G310" t="inlineStr">
        <is>
          <t>ALINGSÅS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46304</v>
      </c>
      <c r="F311" t="inlineStr">
        <is>
          <t>VÄSTRA GÖTALANDS LÄN</t>
        </is>
      </c>
      <c r="G311" t="inlineStr">
        <is>
          <t>ALINGSÅS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46299</v>
      </c>
      <c r="E312" s="1" t="n">
        <v>46304</v>
      </c>
      <c r="F312" t="inlineStr">
        <is>
          <t>VÄSTRA GÖTALANDS LÄN</t>
        </is>
      </c>
      <c r="G312" t="inlineStr">
        <is>
          <t>ALINGSÅS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46255</v>
      </c>
      <c r="E313" s="1" t="n">
        <v>46304</v>
      </c>
      <c r="F313" t="inlineStr">
        <is>
          <t>VÄSTRA GÖTALANDS LÄN</t>
        </is>
      </c>
      <c r="G313" t="inlineStr">
        <is>
          <t>ALINGSÅS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46302</v>
      </c>
      <c r="E314" s="1" t="n">
        <v>46304</v>
      </c>
      <c r="F314" t="inlineStr">
        <is>
          <t>VÄSTRA GÖTALANDS LÄN</t>
        </is>
      </c>
      <c r="G314" t="inlineStr">
        <is>
          <t>ALINGSÅS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41634-2026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46302</v>
      </c>
      <c r="E315" s="1" t="n">
        <v>46304</v>
      </c>
      <c r="F315" t="inlineStr">
        <is>
          <t>VÄSTRA GÖTALANDS LÄN</t>
        </is>
      </c>
      <c r="G315" t="inlineStr">
        <is>
          <t>ALINGSÅS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45323</v>
      </c>
      <c r="E316" s="1" t="n">
        <v>46304</v>
      </c>
      <c r="F316" t="inlineStr">
        <is>
          <t>VÄSTRA GÖTALANDS LÄN</t>
        </is>
      </c>
      <c r="G316" t="inlineStr">
        <is>
          <t>ALINGSÅS</t>
        </is>
      </c>
      <c r="I316" t="n">
        <v>60.2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276-2024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46304</v>
      </c>
      <c r="F317" t="inlineStr">
        <is>
          <t>VÄSTRA GÖTALANDS LÄN</t>
        </is>
      </c>
      <c r="G317" t="inlineStr">
        <is>
          <t>ALINGSÅS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640-2024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46304</v>
      </c>
      <c r="F318" t="inlineStr">
        <is>
          <t>VÄSTRA GÖTALANDS LÄN</t>
        </is>
      </c>
      <c r="G318" t="inlineStr">
        <is>
          <t>ALINGSÅS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1657-2024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45429</v>
      </c>
      <c r="E319" s="1" t="n">
        <v>46304</v>
      </c>
      <c r="F319" t="inlineStr">
        <is>
          <t>VÄSTRA GÖTALANDS LÄN</t>
        </is>
      </c>
      <c r="G319" t="inlineStr">
        <is>
          <t>ALINGSÅS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3691-2024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45552</v>
      </c>
      <c r="E320" s="1" t="n">
        <v>46304</v>
      </c>
      <c r="F320" t="inlineStr">
        <is>
          <t>VÄSTRA GÖTALANDS LÄN</t>
        </is>
      </c>
      <c r="G320" t="inlineStr">
        <is>
          <t>ALINGSÅS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4831-2022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44804</v>
      </c>
      <c r="E321" s="1" t="n">
        <v>46304</v>
      </c>
      <c r="F321" t="inlineStr">
        <is>
          <t>VÄSTRA GÖTALANDS LÄN</t>
        </is>
      </c>
      <c r="G321" t="inlineStr">
        <is>
          <t>ALINGSÅS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278-2024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45323</v>
      </c>
      <c r="E322" s="1" t="n">
        <v>46304</v>
      </c>
      <c r="F322" t="inlineStr">
        <is>
          <t>VÄSTRA GÖTALANDS LÄN</t>
        </is>
      </c>
      <c r="G322" t="inlineStr">
        <is>
          <t>ALINGSÅS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639-2024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45355</v>
      </c>
      <c r="E323" s="1" t="n">
        <v>46304</v>
      </c>
      <c r="F323" t="inlineStr">
        <is>
          <t>VÄSTRA GÖTALANDS LÄN</t>
        </is>
      </c>
      <c r="G323" t="inlineStr">
        <is>
          <t>ALINGSÅS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1784-2025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45813</v>
      </c>
      <c r="E324" s="1" t="n">
        <v>46304</v>
      </c>
      <c r="F324" t="inlineStr">
        <is>
          <t>VÄSTRA GÖTALANDS LÄN</t>
        </is>
      </c>
      <c r="G324" t="inlineStr">
        <is>
          <t>ALINGSÅS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1043-2023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45010</v>
      </c>
      <c r="E325" s="1" t="n">
        <v>46304</v>
      </c>
      <c r="F325" t="inlineStr">
        <is>
          <t>VÄSTRA GÖTALANDS LÄN</t>
        </is>
      </c>
      <c r="G325" t="inlineStr">
        <is>
          <t>ALINGSÅS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2026-10-09T02:08:42Z</dcterms:created>
  <dcterms:modified xmlns:dcterms="http://purl.org/dc/terms/" xmlns:xsi="http://www.w3.org/2001/XMLSchema-instance" xsi:type="dcterms:W3CDTF">2026-10-09T02:08:43Z</dcterms:modified>
</cp:coreProperties>
</file>