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46322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46322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46322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46322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46322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46322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46322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46322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46322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46322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46322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46322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46322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46322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46322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46322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44387-2026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46321</v>
      </c>
      <c r="E26" s="1" t="n">
        <v>46322</v>
      </c>
      <c r="F26" t="inlineStr">
        <is>
          <t>VÄSTRA GÖTALANDS LÄN</t>
        </is>
      </c>
      <c r="G26" t="inlineStr">
        <is>
          <t>ALINGSÅS</t>
        </is>
      </c>
      <c r="I26" t="n">
        <v>1.7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Havstulpanlav
Spindelblomster</t>
        </is>
      </c>
      <c r="W26">
        <f>HYPERLINK("https://klasma.github.io/Logging_1489/artfynd/A 44387-2026 artfynd.xlsx", "A 44387-2026")</f>
        <v/>
      </c>
      <c r="X26">
        <f>HYPERLINK("https://klasma.github.io/Logging_1489/kartor/A 44387-2026 karta.png", "A 44387-2026")</f>
        <v/>
      </c>
      <c r="Y26">
        <f>HYPERLINK("https://klasma.github.io/Logging_1489/kartor_geotiff/A 44387-2026 georefererad karta.tif", "A 44387-2026")</f>
        <v/>
      </c>
      <c r="AA26">
        <f>HYPERLINK("https://klasma.github.io/Logging_1489/klagomål/A 44387-2026 FSC-klagomål.docx", "A 44387-2026")</f>
        <v/>
      </c>
      <c r="AB26">
        <f>HYPERLINK("https://klasma.github.io/Logging_1489/klagomålsmail/A 44387-2026 FSC-klagomål mail.docx", "A 44387-2026")</f>
        <v/>
      </c>
      <c r="AC26">
        <f>HYPERLINK("https://klasma.github.io/Logging_1489/tillsyn/A 44387-2026 tillsynsbegäran.docx", "A 44387-2026")</f>
        <v/>
      </c>
      <c r="AD26">
        <f>HYPERLINK("https://klasma.github.io/Logging_1489/tillsynsmail/A 44387-2026 tillsynsbegäran mail.docx", "A 44387-2026")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46322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51927-2024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45607</v>
      </c>
      <c r="E28" s="1" t="n">
        <v>46322</v>
      </c>
      <c r="F28" t="inlineStr">
        <is>
          <t>VÄSTRA GÖTALANDS LÄN</t>
        </is>
      </c>
      <c r="G28" t="inlineStr">
        <is>
          <t>ALINGSÅS</t>
        </is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51927-2024 artfynd.xlsx", "A 51927-2024")</f>
        <v/>
      </c>
      <c r="X28">
        <f>HYPERLINK("https://klasma.github.io/Logging_1489/kartor/A 51927-2024 karta.png", "A 51927-2024")</f>
        <v/>
      </c>
      <c r="Y28">
        <f>HYPERLINK("https://klasma.github.io/Logging_1489/kartor_geotiff/A 51927-2024 georefererad karta.tif", "A 51927-2024")</f>
        <v/>
      </c>
      <c r="AA28">
        <f>HYPERLINK("https://klasma.github.io/Logging_1489/klagomål/A 51927-2024 FSC-klagomål.docx", "A 51927-2024")</f>
        <v/>
      </c>
      <c r="AB28">
        <f>HYPERLINK("https://klasma.github.io/Logging_1489/klagomålsmail/A 51927-2024 FSC-klagomål mail.docx", "A 51927-2024")</f>
        <v/>
      </c>
      <c r="AC28">
        <f>HYPERLINK("https://klasma.github.io/Logging_1489/tillsyn/A 51927-2024 tillsynsbegäran.docx", "A 51927-2024")</f>
        <v/>
      </c>
      <c r="AD28">
        <f>HYPERLINK("https://klasma.github.io/Logging_1489/tillsynsmail/A 51927-2024 tillsynsbegäran mail.docx", "A 51927-2024")</f>
        <v/>
      </c>
    </row>
    <row r="29" ht="15" customHeight="1">
      <c r="A29" t="inlineStr">
        <is>
          <t>A 37537-2024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46322</v>
      </c>
      <c r="F29" t="inlineStr">
        <is>
          <t>VÄSTRA GÖTALANDS LÄN</t>
        </is>
      </c>
      <c r="G29" t="inlineStr">
        <is>
          <t>ALINGSÅS</t>
        </is>
      </c>
      <c r="I29" t="n">
        <v>3.5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37537-2024 artfynd.xlsx", "A 37537-2024")</f>
        <v/>
      </c>
      <c r="X29">
        <f>HYPERLINK("https://klasma.github.io/Logging_1489/kartor/A 37537-2024 karta.png", "A 37537-2024")</f>
        <v/>
      </c>
      <c r="Y29">
        <f>HYPERLINK("https://klasma.github.io/Logging_1489/kartor_geotiff/A 37537-2024 georefererad karta.tif", "A 37537-2024")</f>
        <v/>
      </c>
      <c r="AA29">
        <f>HYPERLINK("https://klasma.github.io/Logging_1489/klagomål/A 37537-2024 FSC-klagomål.docx", "A 37537-2024")</f>
        <v/>
      </c>
      <c r="AB29">
        <f>HYPERLINK("https://klasma.github.io/Logging_1489/klagomålsmail/A 37537-2024 FSC-klagomål mail.docx", "A 37537-2024")</f>
        <v/>
      </c>
      <c r="AC29">
        <f>HYPERLINK("https://klasma.github.io/Logging_1489/tillsyn/A 37537-2024 tillsynsbegäran.docx", "A 37537-2024")</f>
        <v/>
      </c>
      <c r="AD29">
        <f>HYPERLINK("https://klasma.github.io/Logging_1489/tillsynsmail/A 37537-2024 tillsynsbegäran mail.docx", "A 37537-2024")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46322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46322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59881-2024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45640</v>
      </c>
      <c r="E32" s="1" t="n">
        <v>46322</v>
      </c>
      <c r="F32" t="inlineStr">
        <is>
          <t>VÄSTRA GÖTALANDS LÄN</t>
        </is>
      </c>
      <c r="G32" t="inlineStr">
        <is>
          <t>ALINGSÅS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HYPERLINK("https://klasma.github.io/Logging_1489/artfynd/A 59881-2024 artfynd.xlsx", "A 59881-2024")</f>
        <v/>
      </c>
      <c r="X32">
        <f>HYPERLINK("https://klasma.github.io/Logging_1489/kartor/A 59881-2024 karta.png", "A 59881-2024")</f>
        <v/>
      </c>
      <c r="Y32">
        <f>HYPERLINK("https://klasma.github.io/Logging_1489/kartor_geotiff/A 59881-2024 georefererad karta.tif", "A 59881-2024")</f>
        <v/>
      </c>
      <c r="AA32">
        <f>HYPERLINK("https://klasma.github.io/Logging_1489/klagomål/A 59881-2024 FSC-klagomål.docx", "A 59881-2024")</f>
        <v/>
      </c>
      <c r="AB32">
        <f>HYPERLINK("https://klasma.github.io/Logging_1489/klagomålsmail/A 59881-2024 FSC-klagomål mail.docx", "A 59881-2024")</f>
        <v/>
      </c>
      <c r="AC32">
        <f>HYPERLINK("https://klasma.github.io/Logging_1489/tillsyn/A 59881-2024 tillsynsbegäran.docx", "A 59881-2024")</f>
        <v/>
      </c>
      <c r="AD32">
        <f>HYPERLINK("https://klasma.github.io/Logging_1489/tillsynsmail/A 59881-2024 tillsynsbegäran mail.docx", "A 59881-2024")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46322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4205-2026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46322</v>
      </c>
      <c r="F34" t="inlineStr">
        <is>
          <t>VÄSTRA GÖTALANDS LÄN</t>
        </is>
      </c>
      <c r="G34" t="inlineStr">
        <is>
          <t>ALINGSÅS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HYPERLINK("https://klasma.github.io/Logging_1489/artfynd/A 4205-2026 artfynd.xlsx", "A 4205-2026")</f>
        <v/>
      </c>
      <c r="X34">
        <f>HYPERLINK("https://klasma.github.io/Logging_1489/kartor/A 4205-2026 karta.png", "A 4205-2026")</f>
        <v/>
      </c>
      <c r="Y34">
        <f>HYPERLINK("https://klasma.github.io/Logging_1489/kartor_geotiff/A 4205-2026 georefererad karta.tif", "A 4205-2026")</f>
        <v/>
      </c>
      <c r="AA34">
        <f>HYPERLINK("https://klasma.github.io/Logging_1489/klagomål/A 4205-2026 FSC-klagomål.docx", "A 4205-2026")</f>
        <v/>
      </c>
      <c r="AB34">
        <f>HYPERLINK("https://klasma.github.io/Logging_1489/klagomålsmail/A 4205-2026 FSC-klagomål mail.docx", "A 4205-2026")</f>
        <v/>
      </c>
      <c r="AC34">
        <f>HYPERLINK("https://klasma.github.io/Logging_1489/tillsyn/A 4205-2026 tillsynsbegäran.docx", "A 4205-2026")</f>
        <v/>
      </c>
      <c r="AD34">
        <f>HYPERLINK("https://klasma.github.io/Logging_1489/tillsynsmail/A 4205-2026 tillsynsbegäran mail.docx", "A 4205-2026")</f>
        <v/>
      </c>
      <c r="AE34">
        <f>HYPERLINK("https://klasma.github.io/Logging_1489/fåglar/A 4205-2026 prioriterade fågelarter.docx", "A 4205-2026")</f>
        <v/>
      </c>
    </row>
    <row r="35" ht="15" customHeight="1">
      <c r="A35" t="inlineStr">
        <is>
          <t>A 62603-2023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46322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Kyrkan</t>
        </is>
      </c>
      <c r="I35" t="n">
        <v>4.9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Duvhök</t>
        </is>
      </c>
      <c r="W35">
        <f>HYPERLINK("https://klasma.github.io/Logging_1489/artfynd/A 62603-2023 artfynd.xlsx", "A 62603-2023")</f>
        <v/>
      </c>
      <c r="X35">
        <f>HYPERLINK("https://klasma.github.io/Logging_1489/kartor/A 62603-2023 karta.png", "A 62603-2023")</f>
        <v/>
      </c>
      <c r="Y35">
        <f>HYPERLINK("https://klasma.github.io/Logging_1489/kartor_geotiff/A 62603-2023 georefererad karta.tif", "A 62603-2023")</f>
        <v/>
      </c>
      <c r="AA35">
        <f>HYPERLINK("https://klasma.github.io/Logging_1489/klagomål/A 62603-2023 FSC-klagomål.docx", "A 62603-2023")</f>
        <v/>
      </c>
      <c r="AB35">
        <f>HYPERLINK("https://klasma.github.io/Logging_1489/klagomålsmail/A 62603-2023 FSC-klagomål mail.docx", "A 62603-2023")</f>
        <v/>
      </c>
      <c r="AC35">
        <f>HYPERLINK("https://klasma.github.io/Logging_1489/tillsyn/A 62603-2023 tillsynsbegäran.docx", "A 62603-2023")</f>
        <v/>
      </c>
      <c r="AD35">
        <f>HYPERLINK("https://klasma.github.io/Logging_1489/tillsynsmail/A 62603-2023 tillsynsbegäran mail.docx", "A 62603-2023")</f>
        <v/>
      </c>
      <c r="AE35">
        <f>HYPERLINK("https://klasma.github.io/Logging_1489/fåglar/A 62603-2023 prioriterade fågelarter.docx", "A 62603-2023")</f>
        <v/>
      </c>
    </row>
    <row r="36" ht="15" customHeight="1">
      <c r="A36" t="inlineStr">
        <is>
          <t>A 15986-2026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46108</v>
      </c>
      <c r="E36" s="1" t="n">
        <v>46322</v>
      </c>
      <c r="F36" t="inlineStr">
        <is>
          <t>VÄSTRA GÖTALANDS LÄN</t>
        </is>
      </c>
      <c r="G36" t="inlineStr">
        <is>
          <t>ALINGSÅS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HYPERLINK("https://klasma.github.io/Logging_1489/artfynd/A 15986-2026 artfynd.xlsx", "A 15986-2026")</f>
        <v/>
      </c>
      <c r="X36">
        <f>HYPERLINK("https://klasma.github.io/Logging_1489/kartor/A 15986-2026 karta.png", "A 15986-2026")</f>
        <v/>
      </c>
      <c r="Y36">
        <f>HYPERLINK("https://klasma.github.io/Logging_1489/kartor_geotiff/A 15986-2026 georefererad karta.tif", "A 15986-2026")</f>
        <v/>
      </c>
      <c r="AA36">
        <f>HYPERLINK("https://klasma.github.io/Logging_1489/klagomål/A 15986-2026 FSC-klagomål.docx", "A 15986-2026")</f>
        <v/>
      </c>
      <c r="AB36">
        <f>HYPERLINK("https://klasma.github.io/Logging_1489/klagomålsmail/A 15986-2026 FSC-klagomål mail.docx", "A 15986-2026")</f>
        <v/>
      </c>
      <c r="AC36">
        <f>HYPERLINK("https://klasma.github.io/Logging_1489/tillsyn/A 15986-2026 tillsynsbegäran.docx", "A 15986-2026")</f>
        <v/>
      </c>
      <c r="AD36">
        <f>HYPERLINK("https://klasma.github.io/Logging_1489/tillsynsmail/A 15986-2026 tillsynsbegäran mail.docx", "A 15986-2026")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46322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5383-2024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46322</v>
      </c>
      <c r="F38" t="inlineStr">
        <is>
          <t>VÄSTRA GÖTALANDS LÄN</t>
        </is>
      </c>
      <c r="G38" t="inlineStr">
        <is>
          <t>ALINGSÅS</t>
        </is>
      </c>
      <c r="H38" t="inlineStr">
        <is>
          <t>Övriga Aktiebolag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6</v>
      </c>
      <c r="U38" t="n">
        <v>0</v>
      </c>
      <c r="V38" s="2" t="inlineStr">
        <is>
          <t>Ask</t>
        </is>
      </c>
      <c r="W38">
        <f>HYPERLINK("https://klasma.github.io/Logging_1489/artfynd/A 5383-2024 artfynd.xlsx", "A 5383-2024")</f>
        <v/>
      </c>
      <c r="X38">
        <f>HYPERLINK("https://klasma.github.io/Logging_1489/kartor/A 5383-2024 karta.png", "A 5383-2024")</f>
        <v/>
      </c>
      <c r="Y38">
        <f>HYPERLINK("https://klasma.github.io/Logging_1489/kartor_geotiff/A 5383-2024 georefererad karta.tif", "A 5383-2024")</f>
        <v/>
      </c>
      <c r="AA38">
        <f>HYPERLINK("https://klasma.github.io/Logging_1489/klagomål/A 5383-2024 FSC-klagomål.docx", "A 5383-2024")</f>
        <v/>
      </c>
      <c r="AB38">
        <f>HYPERLINK("https://klasma.github.io/Logging_1489/klagomålsmail/A 5383-2024 FSC-klagomål mail.docx", "A 5383-2024")</f>
        <v/>
      </c>
      <c r="AC38">
        <f>HYPERLINK("https://klasma.github.io/Logging_1489/tillsyn/A 5383-2024 tillsynsbegäran.docx", "A 5383-2024")</f>
        <v/>
      </c>
      <c r="AD38">
        <f>HYPERLINK("https://klasma.github.io/Logging_1489/tillsynsmail/A 5383-2024 tillsynsbegäran mail.docx", "A 5383-2024")</f>
        <v/>
      </c>
    </row>
    <row r="39" ht="15" customHeight="1">
      <c r="A39" t="inlineStr">
        <is>
          <t>A 68899-2021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46322</v>
      </c>
      <c r="F39" t="inlineStr">
        <is>
          <t>VÄSTRA GÖTALANDS LÄN</t>
        </is>
      </c>
      <c r="G39" t="inlineStr">
        <is>
          <t>ALINGSÅS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46322</v>
      </c>
      <c r="F40" t="inlineStr">
        <is>
          <t>VÄSTRA GÖTALANDS LÄN</t>
        </is>
      </c>
      <c r="G40" t="inlineStr">
        <is>
          <t>ALINGSÅS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46322</v>
      </c>
      <c r="F41" t="inlineStr">
        <is>
          <t>VÄSTRA GÖTALANDS LÄN</t>
        </is>
      </c>
      <c r="G41" t="inlineStr">
        <is>
          <t>ALINGSÅS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46322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44754</v>
      </c>
      <c r="E43" s="1" t="n">
        <v>46322</v>
      </c>
      <c r="F43" t="inlineStr">
        <is>
          <t>VÄSTRA GÖTALANDS LÄN</t>
        </is>
      </c>
      <c r="G43" t="inlineStr">
        <is>
          <t>ALINGSÅS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44637</v>
      </c>
      <c r="E44" s="1" t="n">
        <v>46322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46322</v>
      </c>
      <c r="F45" t="inlineStr">
        <is>
          <t>VÄSTRA GÖTALANDS LÄN</t>
        </is>
      </c>
      <c r="G45" t="inlineStr">
        <is>
          <t>ALINGSÅS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46322</v>
      </c>
      <c r="F46" t="inlineStr">
        <is>
          <t>VÄSTRA GÖTALANDS LÄN</t>
        </is>
      </c>
      <c r="G46" t="inlineStr">
        <is>
          <t>ALINGSÅS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46322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46322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65624-2021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46322</v>
      </c>
      <c r="F49" t="inlineStr">
        <is>
          <t>VÄSTRA GÖTALANDS LÄN</t>
        </is>
      </c>
      <c r="G49" t="inlineStr">
        <is>
          <t>ALINGSÅS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46322</v>
      </c>
      <c r="F50" t="inlineStr">
        <is>
          <t>VÄSTRA GÖTALANDS LÄN</t>
        </is>
      </c>
      <c r="G50" t="inlineStr">
        <is>
          <t>ALINGSÅS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44572</v>
      </c>
      <c r="E51" s="1" t="n">
        <v>46322</v>
      </c>
      <c r="F51" t="inlineStr">
        <is>
          <t>VÄSTRA GÖTALANDS LÄN</t>
        </is>
      </c>
      <c r="G51" t="inlineStr">
        <is>
          <t>ALINGSÅS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46322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46322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46322</v>
      </c>
      <c r="F54" t="inlineStr">
        <is>
          <t>VÄSTRA GÖTALANDS LÄN</t>
        </is>
      </c>
      <c r="G54" t="inlineStr">
        <is>
          <t>ALINGSÅS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46322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46322</v>
      </c>
      <c r="F56" t="inlineStr">
        <is>
          <t>VÄSTRA GÖTALANDS LÄN</t>
        </is>
      </c>
      <c r="G56" t="inlineStr">
        <is>
          <t>ALINGSÅS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46322</v>
      </c>
      <c r="F57" t="inlineStr">
        <is>
          <t>VÄSTRA GÖTALANDS LÄN</t>
        </is>
      </c>
      <c r="G57" t="inlineStr">
        <is>
          <t>ALINGSÅS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46322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46322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46322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46322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44795</v>
      </c>
      <c r="E62" s="1" t="n">
        <v>46322</v>
      </c>
      <c r="F62" t="inlineStr">
        <is>
          <t>VÄSTRA GÖTALANDS LÄN</t>
        </is>
      </c>
      <c r="G62" t="inlineStr">
        <is>
          <t>ALINGSÅS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46322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46322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46322</v>
      </c>
      <c r="F65" t="inlineStr">
        <is>
          <t>VÄSTRA GÖTALANDS LÄN</t>
        </is>
      </c>
      <c r="G65" t="inlineStr">
        <is>
          <t>ALINGSÅS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45634</v>
      </c>
      <c r="E66" s="1" t="n">
        <v>46322</v>
      </c>
      <c r="F66" t="inlineStr">
        <is>
          <t>VÄSTRA GÖTALANDS LÄN</t>
        </is>
      </c>
      <c r="G66" t="inlineStr">
        <is>
          <t>ALINGSÅS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45456</v>
      </c>
      <c r="E67" s="1" t="n">
        <v>46322</v>
      </c>
      <c r="F67" t="inlineStr">
        <is>
          <t>VÄSTRA GÖTALANDS LÄN</t>
        </is>
      </c>
      <c r="G67" t="inlineStr">
        <is>
          <t>ALINGSÅS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21328-2025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45782</v>
      </c>
      <c r="E68" s="1" t="n">
        <v>46322</v>
      </c>
      <c r="F68" t="inlineStr">
        <is>
          <t>VÄSTRA GÖTALANDS LÄN</t>
        </is>
      </c>
      <c r="G68" t="inlineStr">
        <is>
          <t>ALINGSÅS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45118</v>
      </c>
      <c r="E69" s="1" t="n">
        <v>46322</v>
      </c>
      <c r="F69" t="inlineStr">
        <is>
          <t>VÄSTRA GÖTALANDS LÄN</t>
        </is>
      </c>
      <c r="G69" t="inlineStr">
        <is>
          <t>ALINGSÅS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46322</v>
      </c>
      <c r="F70" t="inlineStr">
        <is>
          <t>VÄSTRA GÖTALANDS LÄN</t>
        </is>
      </c>
      <c r="G70" t="inlineStr">
        <is>
          <t>ALINGSÅS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46322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40073-2025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46322</v>
      </c>
      <c r="F72" t="inlineStr">
        <is>
          <t>VÄSTRA GÖTALANDS LÄN</t>
        </is>
      </c>
      <c r="G72" t="inlineStr">
        <is>
          <t>ALINGSÅS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45901</v>
      </c>
      <c r="E73" s="1" t="n">
        <v>46322</v>
      </c>
      <c r="F73" t="inlineStr">
        <is>
          <t>VÄSTRA GÖTALANDS LÄN</t>
        </is>
      </c>
      <c r="G73" t="inlineStr">
        <is>
          <t>ALINGSÅS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46322</v>
      </c>
      <c r="F74" t="inlineStr">
        <is>
          <t>VÄSTRA GÖTALANDS LÄN</t>
        </is>
      </c>
      <c r="G74" t="inlineStr">
        <is>
          <t>ALINGSÅS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44991</v>
      </c>
      <c r="E75" s="1" t="n">
        <v>46322</v>
      </c>
      <c r="F75" t="inlineStr">
        <is>
          <t>VÄSTRA GÖTALANDS LÄN</t>
        </is>
      </c>
      <c r="G75" t="inlineStr">
        <is>
          <t>ALINGSÅS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46322</v>
      </c>
      <c r="F76" t="inlineStr">
        <is>
          <t>VÄSTRA GÖTALANDS LÄN</t>
        </is>
      </c>
      <c r="G76" t="inlineStr">
        <is>
          <t>ALINGSÅS</t>
        </is>
      </c>
      <c r="H76" t="inlineStr">
        <is>
          <t>Kyrkan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42672-2025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46322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42710-2025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45908</v>
      </c>
      <c r="E78" s="1" t="n">
        <v>46322</v>
      </c>
      <c r="F78" t="inlineStr">
        <is>
          <t>VÄSTRA GÖTALANDS LÄN</t>
        </is>
      </c>
      <c r="G78" t="inlineStr">
        <is>
          <t>ALINGSÅS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42711-2025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45908</v>
      </c>
      <c r="E79" s="1" t="n">
        <v>46322</v>
      </c>
      <c r="F79" t="inlineStr">
        <is>
          <t>VÄSTRA GÖTALANDS LÄN</t>
        </is>
      </c>
      <c r="G79" t="inlineStr">
        <is>
          <t>ALINGSÅS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46322</v>
      </c>
      <c r="F80" t="inlineStr">
        <is>
          <t>VÄSTRA GÖTALANDS LÄN</t>
        </is>
      </c>
      <c r="G80" t="inlineStr">
        <is>
          <t>ALINGSÅS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46322</v>
      </c>
      <c r="F81" t="inlineStr">
        <is>
          <t>VÄSTRA GÖTALANDS LÄN</t>
        </is>
      </c>
      <c r="G81" t="inlineStr">
        <is>
          <t>ALINGSÅS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46322</v>
      </c>
      <c r="F82" t="inlineStr">
        <is>
          <t>VÄSTRA GÖTALANDS LÄN</t>
        </is>
      </c>
      <c r="G82" t="inlineStr">
        <is>
          <t>ALINGSÅS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46322</v>
      </c>
      <c r="F83" t="inlineStr">
        <is>
          <t>VÄSTRA GÖTALANDS LÄN</t>
        </is>
      </c>
      <c r="G83" t="inlineStr">
        <is>
          <t>ALINGSÅS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45660</v>
      </c>
      <c r="E84" s="1" t="n">
        <v>46322</v>
      </c>
      <c r="F84" t="inlineStr">
        <is>
          <t>VÄSTRA GÖTALANDS LÄN</t>
        </is>
      </c>
      <c r="G84" t="inlineStr">
        <is>
          <t>ALINGSÅS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59303-2024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45637</v>
      </c>
      <c r="E85" s="1" t="n">
        <v>46322</v>
      </c>
      <c r="F85" t="inlineStr">
        <is>
          <t>VÄSTRA GÖTALANDS LÄN</t>
        </is>
      </c>
      <c r="G85" t="inlineStr">
        <is>
          <t>ALINGSÅS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46322</v>
      </c>
      <c r="F86" t="inlineStr">
        <is>
          <t>VÄSTRA GÖTALANDS LÄN</t>
        </is>
      </c>
      <c r="G86" t="inlineStr">
        <is>
          <t>ALINGSÅS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46322</v>
      </c>
      <c r="F87" t="inlineStr">
        <is>
          <t>VÄSTRA GÖTALANDS LÄN</t>
        </is>
      </c>
      <c r="G87" t="inlineStr">
        <is>
          <t>ALINGSÅS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46322</v>
      </c>
      <c r="F88" t="inlineStr">
        <is>
          <t>VÄSTRA GÖTALANDS LÄN</t>
        </is>
      </c>
      <c r="G88" t="inlineStr">
        <is>
          <t>ALINGSÅS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46322</v>
      </c>
      <c r="F89" t="inlineStr">
        <is>
          <t>VÄSTRA GÖTALANDS LÄN</t>
        </is>
      </c>
      <c r="G89" t="inlineStr">
        <is>
          <t>ALINGSÅS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46322</v>
      </c>
      <c r="F90" t="inlineStr">
        <is>
          <t>VÄSTRA GÖTALANDS LÄN</t>
        </is>
      </c>
      <c r="G90" t="inlineStr">
        <is>
          <t>ALINGSÅS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46322</v>
      </c>
      <c r="F91" t="inlineStr">
        <is>
          <t>VÄSTRA GÖTALANDS LÄN</t>
        </is>
      </c>
      <c r="G91" t="inlineStr">
        <is>
          <t>ALINGSÅS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46322</v>
      </c>
      <c r="F92" t="inlineStr">
        <is>
          <t>VÄSTRA GÖTALANDS LÄN</t>
        </is>
      </c>
      <c r="G92" t="inlineStr">
        <is>
          <t>ALINGSÅS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45465</v>
      </c>
      <c r="E93" s="1" t="n">
        <v>46322</v>
      </c>
      <c r="F93" t="inlineStr">
        <is>
          <t>VÄSTRA GÖTALANDS LÄN</t>
        </is>
      </c>
      <c r="G93" t="inlineStr">
        <is>
          <t>ALINGSÅS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64194-2023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45279</v>
      </c>
      <c r="E94" s="1" t="n">
        <v>46322</v>
      </c>
      <c r="F94" t="inlineStr">
        <is>
          <t>VÄSTRA GÖTALANDS LÄN</t>
        </is>
      </c>
      <c r="G94" t="inlineStr">
        <is>
          <t>ALINGSÅS</t>
        </is>
      </c>
      <c r="H94" t="inlineStr">
        <is>
          <t>Kommuner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16609-2022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44672</v>
      </c>
      <c r="E95" s="1" t="n">
        <v>46322</v>
      </c>
      <c r="F95" t="inlineStr">
        <is>
          <t>VÄSTRA GÖTALANDS LÄN</t>
        </is>
      </c>
      <c r="G95" t="inlineStr">
        <is>
          <t>ALINGSÅS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16612-2022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44672</v>
      </c>
      <c r="E96" s="1" t="n">
        <v>46322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64070-2023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45279</v>
      </c>
      <c r="E97" s="1" t="n">
        <v>46322</v>
      </c>
      <c r="F97" t="inlineStr">
        <is>
          <t>VÄSTRA GÖTALANDS LÄN</t>
        </is>
      </c>
      <c r="G97" t="inlineStr">
        <is>
          <t>ALINGSÅS</t>
        </is>
      </c>
      <c r="H97" t="inlineStr">
        <is>
          <t>Kommuner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46322</v>
      </c>
      <c r="F98" t="inlineStr">
        <is>
          <t>VÄSTRA GÖTALANDS LÄN</t>
        </is>
      </c>
      <c r="G98" t="inlineStr">
        <is>
          <t>ALINGSÅS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46322</v>
      </c>
      <c r="F99" t="inlineStr">
        <is>
          <t>VÄSTRA GÖTALANDS LÄN</t>
        </is>
      </c>
      <c r="G99" t="inlineStr">
        <is>
          <t>ALINGSÅS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45097</v>
      </c>
      <c r="E100" s="1" t="n">
        <v>46322</v>
      </c>
      <c r="F100" t="inlineStr">
        <is>
          <t>VÄSTRA GÖTALANDS LÄN</t>
        </is>
      </c>
      <c r="G100" t="inlineStr">
        <is>
          <t>ALINGSÅS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46322</v>
      </c>
      <c r="F101" t="inlineStr">
        <is>
          <t>VÄSTRA GÖTALANDS LÄN</t>
        </is>
      </c>
      <c r="G101" t="inlineStr">
        <is>
          <t>ALINGSÅS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46322</v>
      </c>
      <c r="F102" t="inlineStr">
        <is>
          <t>VÄSTRA GÖTALANDS LÄN</t>
        </is>
      </c>
      <c r="G102" t="inlineStr">
        <is>
          <t>ALINGSÅS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46322</v>
      </c>
      <c r="F103" t="inlineStr">
        <is>
          <t>VÄSTRA GÖTALANDS LÄN</t>
        </is>
      </c>
      <c r="G103" t="inlineStr">
        <is>
          <t>ALINGSÅS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46322</v>
      </c>
      <c r="F104" t="inlineStr">
        <is>
          <t>VÄSTRA GÖTALANDS LÄN</t>
        </is>
      </c>
      <c r="G104" t="inlineStr">
        <is>
          <t>ALINGSÅS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46322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46322</v>
      </c>
      <c r="F106" t="inlineStr">
        <is>
          <t>VÄSTRA GÖTALANDS LÄN</t>
        </is>
      </c>
      <c r="G106" t="inlineStr">
        <is>
          <t>ALINGSÅS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46322</v>
      </c>
      <c r="F107" t="inlineStr">
        <is>
          <t>VÄSTRA GÖTALANDS LÄN</t>
        </is>
      </c>
      <c r="G107" t="inlineStr">
        <is>
          <t>ALINGSÅS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46322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46322</v>
      </c>
      <c r="F109" t="inlineStr">
        <is>
          <t>VÄSTRA GÖTALANDS LÄN</t>
        </is>
      </c>
      <c r="G109" t="inlineStr">
        <is>
          <t>ALINGSÅS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46322</v>
      </c>
      <c r="F110" t="inlineStr">
        <is>
          <t>VÄSTRA GÖTALANDS LÄN</t>
        </is>
      </c>
      <c r="G110" t="inlineStr">
        <is>
          <t>ALINGSÅS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46322</v>
      </c>
      <c r="F111" t="inlineStr">
        <is>
          <t>VÄSTRA GÖTALANDS LÄN</t>
        </is>
      </c>
      <c r="G111" t="inlineStr">
        <is>
          <t>ALINGSÅS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45465</v>
      </c>
      <c r="E112" s="1" t="n">
        <v>46322</v>
      </c>
      <c r="F112" t="inlineStr">
        <is>
          <t>VÄSTRA GÖTALANDS LÄN</t>
        </is>
      </c>
      <c r="G112" t="inlineStr">
        <is>
          <t>ALINGSÅS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46322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46322</v>
      </c>
      <c r="F114" t="inlineStr">
        <is>
          <t>VÄSTRA GÖTALANDS LÄN</t>
        </is>
      </c>
      <c r="G114" t="inlineStr">
        <is>
          <t>ALINGSÅS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46322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46189</v>
      </c>
      <c r="E116" s="1" t="n">
        <v>46322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46322</v>
      </c>
      <c r="F117" t="inlineStr">
        <is>
          <t>VÄSTRA GÖTALANDS LÄN</t>
        </is>
      </c>
      <c r="G117" t="inlineStr">
        <is>
          <t>ALINGSÅS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46322</v>
      </c>
      <c r="F118" t="inlineStr">
        <is>
          <t>VÄSTRA GÖTALANDS LÄN</t>
        </is>
      </c>
      <c r="G118" t="inlineStr">
        <is>
          <t>ALINGSÅS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45534</v>
      </c>
      <c r="E119" s="1" t="n">
        <v>46322</v>
      </c>
      <c r="F119" t="inlineStr">
        <is>
          <t>VÄSTRA GÖTALANDS LÄN</t>
        </is>
      </c>
      <c r="G119" t="inlineStr">
        <is>
          <t>ALINGSÅS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46322</v>
      </c>
      <c r="F120" t="inlineStr">
        <is>
          <t>VÄSTRA GÖTALANDS LÄN</t>
        </is>
      </c>
      <c r="G120" t="inlineStr">
        <is>
          <t>ALINGSÅS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46322</v>
      </c>
      <c r="F121" t="inlineStr">
        <is>
          <t>VÄSTRA GÖTALANDS LÄN</t>
        </is>
      </c>
      <c r="G121" t="inlineStr">
        <is>
          <t>ALINGSÅS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54073-2025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45964</v>
      </c>
      <c r="E122" s="1" t="n">
        <v>46322</v>
      </c>
      <c r="F122" t="inlineStr">
        <is>
          <t>VÄSTRA GÖTALANDS LÄN</t>
        </is>
      </c>
      <c r="G122" t="inlineStr">
        <is>
          <t>ALINGSÅS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46322</v>
      </c>
      <c r="F123" t="inlineStr">
        <is>
          <t>VÄSTRA GÖTALANDS LÄN</t>
        </is>
      </c>
      <c r="G123" t="inlineStr">
        <is>
          <t>ALINGSÅS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27882-2026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46191</v>
      </c>
      <c r="E124" s="1" t="n">
        <v>46322</v>
      </c>
      <c r="F124" t="inlineStr">
        <is>
          <t>VÄSTRA GÖTALANDS LÄN</t>
        </is>
      </c>
      <c r="G124" t="inlineStr">
        <is>
          <t>ALINGSÅS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54644-2025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45966</v>
      </c>
      <c r="E125" s="1" t="n">
        <v>46322</v>
      </c>
      <c r="F125" t="inlineStr">
        <is>
          <t>VÄSTRA GÖTALANDS LÄN</t>
        </is>
      </c>
      <c r="G125" t="inlineStr">
        <is>
          <t>ALINGSÅS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46322</v>
      </c>
      <c r="F126" t="inlineStr">
        <is>
          <t>VÄSTRA GÖTALANDS LÄN</t>
        </is>
      </c>
      <c r="G126" t="inlineStr">
        <is>
          <t>ALINGSÅS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55294-2025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45969</v>
      </c>
      <c r="E127" s="1" t="n">
        <v>46322</v>
      </c>
      <c r="F127" t="inlineStr">
        <is>
          <t>VÄSTRA GÖTALANDS LÄN</t>
        </is>
      </c>
      <c r="G127" t="inlineStr">
        <is>
          <t>ALINGSÅS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45519</v>
      </c>
      <c r="E128" s="1" t="n">
        <v>46322</v>
      </c>
      <c r="F128" t="inlineStr">
        <is>
          <t>VÄSTRA GÖTALANDS LÄN</t>
        </is>
      </c>
      <c r="G128" t="inlineStr">
        <is>
          <t>ALINGSÅS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46322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46191</v>
      </c>
      <c r="E130" s="1" t="n">
        <v>46322</v>
      </c>
      <c r="F130" t="inlineStr">
        <is>
          <t>VÄSTRA GÖTALANDS LÄN</t>
        </is>
      </c>
      <c r="G130" t="inlineStr">
        <is>
          <t>ALINGSÅS</t>
        </is>
      </c>
      <c r="I130" t="n">
        <v>21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46322</v>
      </c>
      <c r="F131" t="inlineStr">
        <is>
          <t>VÄSTRA GÖTALANDS LÄN</t>
        </is>
      </c>
      <c r="G131" t="inlineStr">
        <is>
          <t>ALINGSÅS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46322</v>
      </c>
      <c r="F132" t="inlineStr">
        <is>
          <t>VÄSTRA GÖTALANDS LÄN</t>
        </is>
      </c>
      <c r="G132" t="inlineStr">
        <is>
          <t>ALINGSÅS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46322</v>
      </c>
      <c r="F133" t="inlineStr">
        <is>
          <t>VÄSTRA GÖTALANDS LÄN</t>
        </is>
      </c>
      <c r="G133" t="inlineStr">
        <is>
          <t>ALINGSÅS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46322</v>
      </c>
      <c r="F134" t="inlineStr">
        <is>
          <t>VÄSTRA GÖTALANDS LÄN</t>
        </is>
      </c>
      <c r="G134" t="inlineStr">
        <is>
          <t>ALINGSÅS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46322</v>
      </c>
      <c r="F135" t="inlineStr">
        <is>
          <t>VÄSTRA GÖTALANDS LÄN</t>
        </is>
      </c>
      <c r="G135" t="inlineStr">
        <is>
          <t>ALINGSÅS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46322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56116-2025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45973</v>
      </c>
      <c r="E137" s="1" t="n">
        <v>46322</v>
      </c>
      <c r="F137" t="inlineStr">
        <is>
          <t>VÄSTRA GÖTALANDS LÄN</t>
        </is>
      </c>
      <c r="G137" t="inlineStr">
        <is>
          <t>ALINGSÅS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46322</v>
      </c>
      <c r="F138" t="inlineStr">
        <is>
          <t>VÄSTRA GÖTALANDS LÄN</t>
        </is>
      </c>
      <c r="G138" t="inlineStr">
        <is>
          <t>ALINGSÅS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46322</v>
      </c>
      <c r="F139" t="inlineStr">
        <is>
          <t>VÄSTRA GÖTALANDS LÄN</t>
        </is>
      </c>
      <c r="G139" t="inlineStr">
        <is>
          <t>ALINGSÅS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45792</v>
      </c>
      <c r="E140" s="1" t="n">
        <v>46322</v>
      </c>
      <c r="F140" t="inlineStr">
        <is>
          <t>VÄSTRA GÖTALANDS LÄN</t>
        </is>
      </c>
      <c r="G140" t="inlineStr">
        <is>
          <t>ALINGSÅS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46322</v>
      </c>
      <c r="F141" t="inlineStr">
        <is>
          <t>VÄSTRA GÖTALANDS LÄN</t>
        </is>
      </c>
      <c r="G141" t="inlineStr">
        <is>
          <t>ALINGSÅS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46322</v>
      </c>
      <c r="F142" t="inlineStr">
        <is>
          <t>VÄSTRA GÖTALANDS LÄN</t>
        </is>
      </c>
      <c r="G142" t="inlineStr">
        <is>
          <t>ALINGSÅS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46322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46322</v>
      </c>
      <c r="F144" t="inlineStr">
        <is>
          <t>VÄSTRA GÖTALANDS LÄN</t>
        </is>
      </c>
      <c r="G144" t="inlineStr">
        <is>
          <t>ALINGSÅS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46322</v>
      </c>
      <c r="F145" t="inlineStr">
        <is>
          <t>VÄSTRA GÖTALANDS LÄN</t>
        </is>
      </c>
      <c r="G145" t="inlineStr">
        <is>
          <t>ALINGSÅS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22186-2025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45785</v>
      </c>
      <c r="E146" s="1" t="n">
        <v>46322</v>
      </c>
      <c r="F146" t="inlineStr">
        <is>
          <t>VÄSTRA GÖTALANDS LÄN</t>
        </is>
      </c>
      <c r="G146" t="inlineStr">
        <is>
          <t>ALINGSÅS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46322</v>
      </c>
      <c r="F147" t="inlineStr">
        <is>
          <t>VÄSTRA GÖTALANDS LÄN</t>
        </is>
      </c>
      <c r="G147" t="inlineStr">
        <is>
          <t>ALINGSÅS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46322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Kyrkan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46322</v>
      </c>
      <c r="F149" t="inlineStr">
        <is>
          <t>VÄSTRA GÖTALANDS LÄN</t>
        </is>
      </c>
      <c r="G149" t="inlineStr">
        <is>
          <t>ALINGSÅS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45510</v>
      </c>
      <c r="E150" s="1" t="n">
        <v>46322</v>
      </c>
      <c r="F150" t="inlineStr">
        <is>
          <t>VÄSTRA GÖTALANDS LÄN</t>
        </is>
      </c>
      <c r="G150" t="inlineStr">
        <is>
          <t>ALINGSÅS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46322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46322</v>
      </c>
      <c r="F152" t="inlineStr">
        <is>
          <t>VÄSTRA GÖTALANDS LÄN</t>
        </is>
      </c>
      <c r="G152" t="inlineStr">
        <is>
          <t>ALINGSÅS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46322</v>
      </c>
      <c r="F153" t="inlineStr">
        <is>
          <t>VÄSTRA GÖTALANDS LÄN</t>
        </is>
      </c>
      <c r="G153" t="inlineStr">
        <is>
          <t>ALINGSÅS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46322</v>
      </c>
      <c r="F154" t="inlineStr">
        <is>
          <t>VÄSTRA GÖTALANDS LÄN</t>
        </is>
      </c>
      <c r="G154" t="inlineStr">
        <is>
          <t>ALINGSÅS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46322</v>
      </c>
      <c r="F155" t="inlineStr">
        <is>
          <t>VÄSTRA GÖTALANDS LÄN</t>
        </is>
      </c>
      <c r="G155" t="inlineStr">
        <is>
          <t>ALINGSÅS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46322</v>
      </c>
      <c r="F156" t="inlineStr">
        <is>
          <t>VÄSTRA GÖTALANDS LÄN</t>
        </is>
      </c>
      <c r="G156" t="inlineStr">
        <is>
          <t>ALINGSÅS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46322</v>
      </c>
      <c r="F157" t="inlineStr">
        <is>
          <t>VÄSTRA GÖTALANDS LÄN</t>
        </is>
      </c>
      <c r="G157" t="inlineStr">
        <is>
          <t>ALINGSÅS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46322</v>
      </c>
      <c r="F158" t="inlineStr">
        <is>
          <t>VÄSTRA GÖTALANDS LÄN</t>
        </is>
      </c>
      <c r="G158" t="inlineStr">
        <is>
          <t>ALINGSÅS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46322</v>
      </c>
      <c r="F159" t="inlineStr">
        <is>
          <t>VÄSTRA GÖTALANDS LÄN</t>
        </is>
      </c>
      <c r="G159" t="inlineStr">
        <is>
          <t>ALINGSÅS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54579-2024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45617</v>
      </c>
      <c r="E160" s="1" t="n">
        <v>46322</v>
      </c>
      <c r="F160" t="inlineStr">
        <is>
          <t>VÄSTRA GÖTALANDS LÄN</t>
        </is>
      </c>
      <c r="G160" t="inlineStr">
        <is>
          <t>ALINGSÅS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46322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46322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46322</v>
      </c>
      <c r="F163" t="inlineStr">
        <is>
          <t>VÄSTRA GÖTALANDS LÄN</t>
        </is>
      </c>
      <c r="G163" t="inlineStr">
        <is>
          <t>ALINGSÅS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46322</v>
      </c>
      <c r="F164" t="inlineStr">
        <is>
          <t>VÄSTRA GÖTALANDS LÄN</t>
        </is>
      </c>
      <c r="G164" t="inlineStr">
        <is>
          <t>ALINGSÅS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46322</v>
      </c>
      <c r="F165" t="inlineStr">
        <is>
          <t>VÄSTRA GÖTALANDS LÄN</t>
        </is>
      </c>
      <c r="G165" t="inlineStr">
        <is>
          <t>ALINGSÅS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46322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46322</v>
      </c>
      <c r="F167" t="inlineStr">
        <is>
          <t>VÄSTRA GÖTALANDS LÄN</t>
        </is>
      </c>
      <c r="G167" t="inlineStr">
        <is>
          <t>ALINGSÅS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46322</v>
      </c>
      <c r="F168" t="inlineStr">
        <is>
          <t>VÄSTRA GÖTALANDS LÄN</t>
        </is>
      </c>
      <c r="G168" t="inlineStr">
        <is>
          <t>ALINGSÅS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46322</v>
      </c>
      <c r="F169" t="inlineStr">
        <is>
          <t>VÄSTRA GÖTALANDS LÄN</t>
        </is>
      </c>
      <c r="G169" t="inlineStr">
        <is>
          <t>ALINGSÅS</t>
        </is>
      </c>
      <c r="H169" t="inlineStr">
        <is>
          <t>Kyrkan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46322</v>
      </c>
      <c r="F170" t="inlineStr">
        <is>
          <t>VÄSTRA GÖTALANDS LÄN</t>
        </is>
      </c>
      <c r="G170" t="inlineStr">
        <is>
          <t>ALINGSÅS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46322</v>
      </c>
      <c r="F171" t="inlineStr">
        <is>
          <t>VÄSTRA GÖTALANDS LÄN</t>
        </is>
      </c>
      <c r="G171" t="inlineStr">
        <is>
          <t>ALINGSÅS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46322</v>
      </c>
      <c r="F172" t="inlineStr">
        <is>
          <t>VÄSTRA GÖTALANDS LÄN</t>
        </is>
      </c>
      <c r="G172" t="inlineStr">
        <is>
          <t>ALINGSÅS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63143-2021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44505</v>
      </c>
      <c r="E173" s="1" t="n">
        <v>46322</v>
      </c>
      <c r="F173" t="inlineStr">
        <is>
          <t>VÄSTRA GÖTALANDS LÄN</t>
        </is>
      </c>
      <c r="G173" t="inlineStr">
        <is>
          <t>ALINGSÅS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46322</v>
      </c>
      <c r="F174" t="inlineStr">
        <is>
          <t>VÄSTRA GÖTALANDS LÄN</t>
        </is>
      </c>
      <c r="G174" t="inlineStr">
        <is>
          <t>ALINGSÅS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46322</v>
      </c>
      <c r="F175" t="inlineStr">
        <is>
          <t>VÄSTRA GÖTALANDS LÄN</t>
        </is>
      </c>
      <c r="G175" t="inlineStr">
        <is>
          <t>ALINGSÅS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46014</v>
      </c>
      <c r="E176" s="1" t="n">
        <v>46322</v>
      </c>
      <c r="F176" t="inlineStr">
        <is>
          <t>VÄSTRA GÖTALANDS LÄN</t>
        </is>
      </c>
      <c r="G176" t="inlineStr">
        <is>
          <t>ALINGSÅS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46014</v>
      </c>
      <c r="E177" s="1" t="n">
        <v>46322</v>
      </c>
      <c r="F177" t="inlineStr">
        <is>
          <t>VÄSTRA GÖTALANDS LÄN</t>
        </is>
      </c>
      <c r="G177" t="inlineStr">
        <is>
          <t>ALINGSÅS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45230</v>
      </c>
      <c r="E178" s="1" t="n">
        <v>46322</v>
      </c>
      <c r="F178" t="inlineStr">
        <is>
          <t>VÄSTRA GÖTALANDS LÄN</t>
        </is>
      </c>
      <c r="G178" t="inlineStr">
        <is>
          <t>ALINGSÅS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46322</v>
      </c>
      <c r="F179" t="inlineStr">
        <is>
          <t>VÄSTRA GÖTALANDS LÄN</t>
        </is>
      </c>
      <c r="G179" t="inlineStr">
        <is>
          <t>ALINGSÅS</t>
        </is>
      </c>
      <c r="I179" t="n">
        <v>10.4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46322</v>
      </c>
      <c r="F180" t="inlineStr">
        <is>
          <t>VÄSTRA GÖTALANDS LÄN</t>
        </is>
      </c>
      <c r="G180" t="inlineStr">
        <is>
          <t>ALINGSÅS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46322</v>
      </c>
      <c r="F181" t="inlineStr">
        <is>
          <t>VÄSTRA GÖTALANDS LÄN</t>
        </is>
      </c>
      <c r="G181" t="inlineStr">
        <is>
          <t>ALINGSÅS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46322</v>
      </c>
      <c r="F182" t="inlineStr">
        <is>
          <t>VÄSTRA GÖTALANDS LÄN</t>
        </is>
      </c>
      <c r="G182" t="inlineStr">
        <is>
          <t>ALINGSÅS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32286-2024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45512</v>
      </c>
      <c r="E183" s="1" t="n">
        <v>46322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19553-2024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45429</v>
      </c>
      <c r="E184" s="1" t="n">
        <v>46322</v>
      </c>
      <c r="F184" t="inlineStr">
        <is>
          <t>VÄSTRA GÖTALANDS LÄN</t>
        </is>
      </c>
      <c r="G184" t="inlineStr">
        <is>
          <t>ALINGSÅS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45850</v>
      </c>
      <c r="E185" s="1" t="n">
        <v>46322</v>
      </c>
      <c r="F185" t="inlineStr">
        <is>
          <t>VÄSTRA GÖTALANDS LÄN</t>
        </is>
      </c>
      <c r="G185" t="inlineStr">
        <is>
          <t>ALINGSÅS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46322</v>
      </c>
      <c r="F186" t="inlineStr">
        <is>
          <t>VÄSTRA GÖTALANDS LÄN</t>
        </is>
      </c>
      <c r="G186" t="inlineStr">
        <is>
          <t>ALINGSÅS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45850</v>
      </c>
      <c r="E187" s="1" t="n">
        <v>46322</v>
      </c>
      <c r="F187" t="inlineStr">
        <is>
          <t>VÄSTRA GÖTALANDS LÄN</t>
        </is>
      </c>
      <c r="G187" t="inlineStr">
        <is>
          <t>ALINGSÅS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46322</v>
      </c>
      <c r="F188" t="inlineStr">
        <is>
          <t>VÄSTRA GÖTALANDS LÄN</t>
        </is>
      </c>
      <c r="G188" t="inlineStr">
        <is>
          <t>ALINGSÅS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46322</v>
      </c>
      <c r="F189" t="inlineStr">
        <is>
          <t>VÄSTRA GÖTALANDS LÄN</t>
        </is>
      </c>
      <c r="G189" t="inlineStr">
        <is>
          <t>ALINGSÅS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46322</v>
      </c>
      <c r="F190" t="inlineStr">
        <is>
          <t>VÄSTRA GÖTALANDS LÄN</t>
        </is>
      </c>
      <c r="G190" t="inlineStr">
        <is>
          <t>ALINGSÅS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45757</v>
      </c>
      <c r="E191" s="1" t="n">
        <v>46322</v>
      </c>
      <c r="F191" t="inlineStr">
        <is>
          <t>VÄSTRA GÖTALANDS LÄN</t>
        </is>
      </c>
      <c r="G191" t="inlineStr">
        <is>
          <t>ALINGSÅS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46322</v>
      </c>
      <c r="F192" t="inlineStr">
        <is>
          <t>VÄSTRA GÖTALANDS LÄN</t>
        </is>
      </c>
      <c r="G192" t="inlineStr">
        <is>
          <t>ALINGSÅS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45329</v>
      </c>
      <c r="E193" s="1" t="n">
        <v>46322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46322</v>
      </c>
      <c r="F194" t="inlineStr">
        <is>
          <t>VÄSTRA GÖTALANDS LÄN</t>
        </is>
      </c>
      <c r="G194" t="inlineStr">
        <is>
          <t>ALINGSÅS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46322</v>
      </c>
      <c r="F195" t="inlineStr">
        <is>
          <t>VÄSTRA GÖTALANDS LÄN</t>
        </is>
      </c>
      <c r="G195" t="inlineStr">
        <is>
          <t>ALINGSÅS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46322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46322</v>
      </c>
      <c r="F197" t="inlineStr">
        <is>
          <t>VÄSTRA GÖTALANDS LÄN</t>
        </is>
      </c>
      <c r="G197" t="inlineStr">
        <is>
          <t>ALINGSÅS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45219</v>
      </c>
      <c r="E198" s="1" t="n">
        <v>46322</v>
      </c>
      <c r="F198" t="inlineStr">
        <is>
          <t>VÄSTRA GÖTALANDS LÄN</t>
        </is>
      </c>
      <c r="G198" t="inlineStr">
        <is>
          <t>ALINGSÅS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45465</v>
      </c>
      <c r="E199" s="1" t="n">
        <v>46322</v>
      </c>
      <c r="F199" t="inlineStr">
        <is>
          <t>VÄSTRA GÖTALANDS LÄN</t>
        </is>
      </c>
      <c r="G199" t="inlineStr">
        <is>
          <t>ALINGSÅS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46322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44964</v>
      </c>
      <c r="E201" s="1" t="n">
        <v>46322</v>
      </c>
      <c r="F201" t="inlineStr">
        <is>
          <t>VÄSTRA GÖTALANDS LÄN</t>
        </is>
      </c>
      <c r="G201" t="inlineStr">
        <is>
          <t>ALINGSÅS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46322</v>
      </c>
      <c r="F202" t="inlineStr">
        <is>
          <t>VÄSTRA GÖTALANDS LÄN</t>
        </is>
      </c>
      <c r="G202" t="inlineStr">
        <is>
          <t>ALINGSÅS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46322</v>
      </c>
      <c r="F203" t="inlineStr">
        <is>
          <t>VÄSTRA GÖTALANDS LÄN</t>
        </is>
      </c>
      <c r="G203" t="inlineStr">
        <is>
          <t>ALINGSÅS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45133</v>
      </c>
      <c r="E204" s="1" t="n">
        <v>46322</v>
      </c>
      <c r="F204" t="inlineStr">
        <is>
          <t>VÄSTRA GÖTALANDS LÄN</t>
        </is>
      </c>
      <c r="G204" t="inlineStr">
        <is>
          <t>ALINGSÅS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46322</v>
      </c>
      <c r="F205" t="inlineStr">
        <is>
          <t>VÄSTRA GÖTALANDS LÄN</t>
        </is>
      </c>
      <c r="G205" t="inlineStr">
        <is>
          <t>ALINGSÅS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46322</v>
      </c>
      <c r="F206" t="inlineStr">
        <is>
          <t>VÄSTRA GÖTALANDS LÄN</t>
        </is>
      </c>
      <c r="G206" t="inlineStr">
        <is>
          <t>ALINGSÅS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46322</v>
      </c>
      <c r="F207" t="inlineStr">
        <is>
          <t>VÄSTRA GÖTALANDS LÄN</t>
        </is>
      </c>
      <c r="G207" t="inlineStr">
        <is>
          <t>ALINGSÅS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46322</v>
      </c>
      <c r="F208" t="inlineStr">
        <is>
          <t>VÄSTRA GÖTALANDS LÄN</t>
        </is>
      </c>
      <c r="G208" t="inlineStr">
        <is>
          <t>ALINGSÅS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46322</v>
      </c>
      <c r="F209" t="inlineStr">
        <is>
          <t>VÄSTRA GÖTALANDS LÄN</t>
        </is>
      </c>
      <c r="G209" t="inlineStr">
        <is>
          <t>ALINGSÅS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46232</v>
      </c>
      <c r="E210" s="1" t="n">
        <v>46322</v>
      </c>
      <c r="F210" t="inlineStr">
        <is>
          <t>VÄSTRA GÖTALANDS LÄN</t>
        </is>
      </c>
      <c r="G210" t="inlineStr">
        <is>
          <t>ALINGSÅS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46322</v>
      </c>
      <c r="F211" t="inlineStr">
        <is>
          <t>VÄSTRA GÖTALANDS LÄN</t>
        </is>
      </c>
      <c r="G211" t="inlineStr">
        <is>
          <t>ALINGSÅS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46322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46322</v>
      </c>
      <c r="F213" t="inlineStr">
        <is>
          <t>VÄSTRA GÖTALANDS LÄN</t>
        </is>
      </c>
      <c r="G213" t="inlineStr">
        <is>
          <t>ALINGSÅS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46322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46322</v>
      </c>
      <c r="F215" t="inlineStr">
        <is>
          <t>VÄSTRA GÖTALANDS LÄN</t>
        </is>
      </c>
      <c r="G215" t="inlineStr">
        <is>
          <t>ALINGSÅS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44615</v>
      </c>
      <c r="E216" s="1" t="n">
        <v>46322</v>
      </c>
      <c r="F216" t="inlineStr">
        <is>
          <t>VÄSTRA GÖTALANDS LÄN</t>
        </is>
      </c>
      <c r="G216" t="inlineStr">
        <is>
          <t>ALINGSÅS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46322</v>
      </c>
      <c r="F217" t="inlineStr">
        <is>
          <t>VÄSTRA GÖTALANDS LÄN</t>
        </is>
      </c>
      <c r="G217" t="inlineStr">
        <is>
          <t>ALINGSÅS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42865-2022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44832</v>
      </c>
      <c r="E218" s="1" t="n">
        <v>46322</v>
      </c>
      <c r="F218" t="inlineStr">
        <is>
          <t>VÄSTRA GÖTALANDS LÄN</t>
        </is>
      </c>
      <c r="G218" t="inlineStr">
        <is>
          <t>ALINGSÅS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46322</v>
      </c>
      <c r="F219" t="inlineStr">
        <is>
          <t>VÄSTRA GÖTALANDS LÄN</t>
        </is>
      </c>
      <c r="G219" t="inlineStr">
        <is>
          <t>ALINGSÅS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46322</v>
      </c>
      <c r="F220" t="inlineStr">
        <is>
          <t>VÄSTRA GÖTALANDS LÄN</t>
        </is>
      </c>
      <c r="G220" t="inlineStr">
        <is>
          <t>ALINGSÅS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45427</v>
      </c>
      <c r="E221" s="1" t="n">
        <v>46322</v>
      </c>
      <c r="F221" t="inlineStr">
        <is>
          <t>VÄSTRA GÖTALANDS LÄN</t>
        </is>
      </c>
      <c r="G221" t="inlineStr">
        <is>
          <t>ALINGSÅS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46322</v>
      </c>
      <c r="F222" t="inlineStr">
        <is>
          <t>VÄSTRA GÖTALANDS LÄN</t>
        </is>
      </c>
      <c r="G222" t="inlineStr">
        <is>
          <t>ALINGSÅS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46322</v>
      </c>
      <c r="F223" t="inlineStr">
        <is>
          <t>VÄSTRA GÖTALANDS LÄN</t>
        </is>
      </c>
      <c r="G223" t="inlineStr">
        <is>
          <t>ALINGSÅS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46322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46322</v>
      </c>
      <c r="F225" t="inlineStr">
        <is>
          <t>VÄSTRA GÖTALANDS LÄN</t>
        </is>
      </c>
      <c r="G225" t="inlineStr">
        <is>
          <t>ALINGSÅS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18360-2026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46126</v>
      </c>
      <c r="E226" s="1" t="n">
        <v>46322</v>
      </c>
      <c r="F226" t="inlineStr">
        <is>
          <t>VÄSTRA GÖTALANDS LÄN</t>
        </is>
      </c>
      <c r="G226" t="inlineStr">
        <is>
          <t>ALINGSÅS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45412</v>
      </c>
      <c r="E227" s="1" t="n">
        <v>46322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45310</v>
      </c>
      <c r="E228" s="1" t="n">
        <v>46322</v>
      </c>
      <c r="F228" t="inlineStr">
        <is>
          <t>VÄSTRA GÖTALANDS LÄN</t>
        </is>
      </c>
      <c r="G228" t="inlineStr">
        <is>
          <t>ALINGSÅS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46322</v>
      </c>
      <c r="F229" t="inlineStr">
        <is>
          <t>VÄSTRA GÖTALANDS LÄN</t>
        </is>
      </c>
      <c r="G229" t="inlineStr">
        <is>
          <t>ALINGSÅS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46322</v>
      </c>
      <c r="F230" t="inlineStr">
        <is>
          <t>VÄSTRA GÖTALANDS LÄN</t>
        </is>
      </c>
      <c r="G230" t="inlineStr">
        <is>
          <t>ALINGSÅS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46131</v>
      </c>
      <c r="E231" s="1" t="n">
        <v>46322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44821</v>
      </c>
      <c r="E232" s="1" t="n">
        <v>46322</v>
      </c>
      <c r="F232" t="inlineStr">
        <is>
          <t>VÄSTRA GÖTALANDS LÄN</t>
        </is>
      </c>
      <c r="G232" t="inlineStr">
        <is>
          <t>ALINGSÅS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46322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45380</v>
      </c>
      <c r="E234" s="1" t="n">
        <v>46322</v>
      </c>
      <c r="F234" t="inlineStr">
        <is>
          <t>VÄSTRA GÖTALANDS LÄN</t>
        </is>
      </c>
      <c r="G234" t="inlineStr">
        <is>
          <t>ALINGSÅS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46322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44727</v>
      </c>
      <c r="E236" s="1" t="n">
        <v>46322</v>
      </c>
      <c r="F236" t="inlineStr">
        <is>
          <t>VÄSTRA GÖTALANDS LÄN</t>
        </is>
      </c>
      <c r="G236" t="inlineStr">
        <is>
          <t>ALINGSÅS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44103-2025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46322</v>
      </c>
      <c r="F237" t="inlineStr">
        <is>
          <t>VÄSTRA GÖTALANDS LÄN</t>
        </is>
      </c>
      <c r="G237" t="inlineStr">
        <is>
          <t>ALINGSÅS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46322</v>
      </c>
      <c r="F238" t="inlineStr">
        <is>
          <t>VÄSTRA GÖTALANDS LÄN</t>
        </is>
      </c>
      <c r="G238" t="inlineStr">
        <is>
          <t>ALINGSÅS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46322</v>
      </c>
      <c r="F239" t="inlineStr">
        <is>
          <t>VÄSTRA GÖTALANDS LÄN</t>
        </is>
      </c>
      <c r="G239" t="inlineStr">
        <is>
          <t>ALINGSÅS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46322</v>
      </c>
      <c r="F240" t="inlineStr">
        <is>
          <t>VÄSTRA GÖTALANDS LÄN</t>
        </is>
      </c>
      <c r="G240" t="inlineStr">
        <is>
          <t>ALINGSÅS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46289</v>
      </c>
      <c r="E241" s="1" t="n">
        <v>46322</v>
      </c>
      <c r="F241" t="inlineStr">
        <is>
          <t>VÄSTRA GÖTALANDS LÄN</t>
        </is>
      </c>
      <c r="G241" t="inlineStr">
        <is>
          <t>ALINGSÅS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44721</v>
      </c>
      <c r="E242" s="1" t="n">
        <v>46322</v>
      </c>
      <c r="F242" t="inlineStr">
        <is>
          <t>VÄSTRA GÖTALANDS LÄN</t>
        </is>
      </c>
      <c r="G242" t="inlineStr">
        <is>
          <t>ALINGSÅS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46322</v>
      </c>
      <c r="F243" t="inlineStr">
        <is>
          <t>VÄSTRA GÖTALANDS LÄN</t>
        </is>
      </c>
      <c r="G243" t="inlineStr">
        <is>
          <t>ALINGSÅS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46322</v>
      </c>
      <c r="F244" t="inlineStr">
        <is>
          <t>VÄSTRA GÖTALANDS LÄN</t>
        </is>
      </c>
      <c r="G244" t="inlineStr">
        <is>
          <t>ALINGSÅS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46322</v>
      </c>
      <c r="F245" t="inlineStr">
        <is>
          <t>VÄSTRA GÖTALANDS LÄN</t>
        </is>
      </c>
      <c r="G245" t="inlineStr">
        <is>
          <t>ALINGSÅS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46322</v>
      </c>
      <c r="F246" t="inlineStr">
        <is>
          <t>VÄSTRA GÖTALANDS LÄN</t>
        </is>
      </c>
      <c r="G246" t="inlineStr">
        <is>
          <t>ALINGSÅS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45399</v>
      </c>
      <c r="E247" s="1" t="n">
        <v>46322</v>
      </c>
      <c r="F247" t="inlineStr">
        <is>
          <t>VÄSTRA GÖTALANDS LÄN</t>
        </is>
      </c>
      <c r="G247" t="inlineStr">
        <is>
          <t>ALINGSÅS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46322</v>
      </c>
      <c r="F248" t="inlineStr">
        <is>
          <t>VÄSTRA GÖTALANDS LÄN</t>
        </is>
      </c>
      <c r="G248" t="inlineStr">
        <is>
          <t>ALINGSÅS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46322</v>
      </c>
      <c r="F249" t="inlineStr">
        <is>
          <t>VÄSTRA GÖTALANDS LÄN</t>
        </is>
      </c>
      <c r="G249" t="inlineStr">
        <is>
          <t>ALINGSÅS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46248</v>
      </c>
      <c r="E250" s="1" t="n">
        <v>46322</v>
      </c>
      <c r="F250" t="inlineStr">
        <is>
          <t>VÄSTRA GÖTALANDS LÄN</t>
        </is>
      </c>
      <c r="G250" t="inlineStr">
        <is>
          <t>ALINGSÅS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46322</v>
      </c>
      <c r="F251" t="inlineStr">
        <is>
          <t>VÄSTRA GÖTALANDS LÄN</t>
        </is>
      </c>
      <c r="G251" t="inlineStr">
        <is>
          <t>ALINGSÅS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46290</v>
      </c>
      <c r="E252" s="1" t="n">
        <v>46322</v>
      </c>
      <c r="F252" t="inlineStr">
        <is>
          <t>VÄSTRA GÖTALANDS LÄN</t>
        </is>
      </c>
      <c r="G252" t="inlineStr">
        <is>
          <t>ALINGSÅS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45589</v>
      </c>
      <c r="E253" s="1" t="n">
        <v>46322</v>
      </c>
      <c r="F253" t="inlineStr">
        <is>
          <t>VÄSTRA GÖTALANDS LÄN</t>
        </is>
      </c>
      <c r="G253" t="inlineStr">
        <is>
          <t>ALINGSÅS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46322</v>
      </c>
      <c r="F254" t="inlineStr">
        <is>
          <t>VÄSTRA GÖTALANDS LÄN</t>
        </is>
      </c>
      <c r="G254" t="inlineStr">
        <is>
          <t>ALINGSÅS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44708</v>
      </c>
      <c r="E255" s="1" t="n">
        <v>46322</v>
      </c>
      <c r="F255" t="inlineStr">
        <is>
          <t>VÄSTRA GÖTALANDS LÄN</t>
        </is>
      </c>
      <c r="G255" t="inlineStr">
        <is>
          <t>ALINGSÅS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46322</v>
      </c>
      <c r="F256" t="inlineStr">
        <is>
          <t>VÄSTRA GÖTALANDS LÄN</t>
        </is>
      </c>
      <c r="G256" t="inlineStr">
        <is>
          <t>ALINGSÅS</t>
        </is>
      </c>
      <c r="I256" t="n">
        <v>13.1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44957</v>
      </c>
      <c r="E257" s="1" t="n">
        <v>46322</v>
      </c>
      <c r="F257" t="inlineStr">
        <is>
          <t>VÄSTRA GÖTALANDS LÄN</t>
        </is>
      </c>
      <c r="G257" t="inlineStr">
        <is>
          <t>ALINGSÅS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46290</v>
      </c>
      <c r="E258" s="1" t="n">
        <v>46322</v>
      </c>
      <c r="F258" t="inlineStr">
        <is>
          <t>VÄSTRA GÖTALANDS LÄN</t>
        </is>
      </c>
      <c r="G258" t="inlineStr">
        <is>
          <t>ALINGSÅS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46322</v>
      </c>
      <c r="F259" t="inlineStr">
        <is>
          <t>VÄSTRA GÖTALANDS LÄN</t>
        </is>
      </c>
      <c r="G259" t="inlineStr">
        <is>
          <t>ALINGSÅS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46322</v>
      </c>
      <c r="F260" t="inlineStr">
        <is>
          <t>VÄSTRA GÖTALANDS LÄN</t>
        </is>
      </c>
      <c r="G260" t="inlineStr">
        <is>
          <t>ALINGSÅS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39612-2026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46289</v>
      </c>
      <c r="E261" s="1" t="n">
        <v>46322</v>
      </c>
      <c r="F261" t="inlineStr">
        <is>
          <t>VÄSTRA GÖTALANDS LÄN</t>
        </is>
      </c>
      <c r="G261" t="inlineStr">
        <is>
          <t>ALINGSÅS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47233-2022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44852</v>
      </c>
      <c r="E262" s="1" t="n">
        <v>46322</v>
      </c>
      <c r="F262" t="inlineStr">
        <is>
          <t>VÄSTRA GÖTALANDS LÄN</t>
        </is>
      </c>
      <c r="G262" t="inlineStr">
        <is>
          <t>ALINGSÅS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46322</v>
      </c>
      <c r="F263" t="inlineStr">
        <is>
          <t>VÄSTRA GÖTALANDS LÄN</t>
        </is>
      </c>
      <c r="G263" t="inlineStr">
        <is>
          <t>ALINGSÅS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45596</v>
      </c>
      <c r="E264" s="1" t="n">
        <v>46322</v>
      </c>
      <c r="F264" t="inlineStr">
        <is>
          <t>VÄSTRA GÖTALANDS LÄN</t>
        </is>
      </c>
      <c r="G264" t="inlineStr">
        <is>
          <t>ALINGSÅS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46322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45391</v>
      </c>
      <c r="E266" s="1" t="n">
        <v>46322</v>
      </c>
      <c r="F266" t="inlineStr">
        <is>
          <t>VÄSTRA GÖTALANDS LÄN</t>
        </is>
      </c>
      <c r="G266" t="inlineStr">
        <is>
          <t>ALINGSÅS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46294</v>
      </c>
      <c r="E267" s="1" t="n">
        <v>46322</v>
      </c>
      <c r="F267" t="inlineStr">
        <is>
          <t>VÄSTRA GÖTALANDS LÄN</t>
        </is>
      </c>
      <c r="G267" t="inlineStr">
        <is>
          <t>ALINGSÅS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46322</v>
      </c>
      <c r="F268" t="inlineStr">
        <is>
          <t>VÄSTRA GÖTALANDS LÄN</t>
        </is>
      </c>
      <c r="G268" t="inlineStr">
        <is>
          <t>ALINGSÅS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46296</v>
      </c>
      <c r="E269" s="1" t="n">
        <v>46322</v>
      </c>
      <c r="F269" t="inlineStr">
        <is>
          <t>VÄSTRA GÖTALANDS LÄN</t>
        </is>
      </c>
      <c r="G269" t="inlineStr">
        <is>
          <t>ALINGSÅS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46322</v>
      </c>
      <c r="F270" t="inlineStr">
        <is>
          <t>VÄSTRA GÖTALANDS LÄN</t>
        </is>
      </c>
      <c r="G270" t="inlineStr">
        <is>
          <t>ALINGSÅS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46322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46171</v>
      </c>
      <c r="E272" s="1" t="n">
        <v>46322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44953</v>
      </c>
      <c r="E273" s="1" t="n">
        <v>46322</v>
      </c>
      <c r="F273" t="inlineStr">
        <is>
          <t>VÄSTRA GÖTALANDS LÄN</t>
        </is>
      </c>
      <c r="G273" t="inlineStr">
        <is>
          <t>ALINGSÅS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46322</v>
      </c>
      <c r="F274" t="inlineStr">
        <is>
          <t>VÄSTRA GÖTALANDS LÄN</t>
        </is>
      </c>
      <c r="G274" t="inlineStr">
        <is>
          <t>ALINGSÅS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46296</v>
      </c>
      <c r="E275" s="1" t="n">
        <v>46322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46322</v>
      </c>
      <c r="F276" t="inlineStr">
        <is>
          <t>VÄSTRA GÖTALANDS LÄN</t>
        </is>
      </c>
      <c r="G276" t="inlineStr">
        <is>
          <t>ALINGSÅS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46296</v>
      </c>
      <c r="E277" s="1" t="n">
        <v>46322</v>
      </c>
      <c r="F277" t="inlineStr">
        <is>
          <t>VÄSTRA GÖTALANDS LÄN</t>
        </is>
      </c>
      <c r="G277" t="inlineStr">
        <is>
          <t>ALINGSÅS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46322</v>
      </c>
      <c r="F278" t="inlineStr">
        <is>
          <t>VÄSTRA GÖTALANDS LÄN</t>
        </is>
      </c>
      <c r="G278" t="inlineStr">
        <is>
          <t>ALINGSÅS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46322</v>
      </c>
      <c r="F279" t="inlineStr">
        <is>
          <t>VÄSTRA GÖTALANDS LÄN</t>
        </is>
      </c>
      <c r="G279" t="inlineStr">
        <is>
          <t>ALINGSÅS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46322</v>
      </c>
      <c r="F280" t="inlineStr">
        <is>
          <t>VÄSTRA GÖTALANDS LÄN</t>
        </is>
      </c>
      <c r="G280" t="inlineStr">
        <is>
          <t>ALINGSÅS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46322</v>
      </c>
      <c r="F281" t="inlineStr">
        <is>
          <t>VÄSTRA GÖTALANDS LÄN</t>
        </is>
      </c>
      <c r="G281" t="inlineStr">
        <is>
          <t>ALINGSÅS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43741-2024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45569</v>
      </c>
      <c r="E282" s="1" t="n">
        <v>46322</v>
      </c>
      <c r="F282" t="inlineStr">
        <is>
          <t>VÄSTRA GÖTALANDS LÄN</t>
        </is>
      </c>
      <c r="G282" t="inlineStr">
        <is>
          <t>ALINGSÅS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46322</v>
      </c>
      <c r="F283" t="inlineStr">
        <is>
          <t>VÄSTRA GÖTALANDS LÄN</t>
        </is>
      </c>
      <c r="G283" t="inlineStr">
        <is>
          <t>ALINGSÅS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47960-2022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44855</v>
      </c>
      <c r="E284" s="1" t="n">
        <v>46322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46300</v>
      </c>
      <c r="E285" s="1" t="n">
        <v>46322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46322</v>
      </c>
      <c r="F286" t="inlineStr">
        <is>
          <t>VÄSTRA GÖTALANDS LÄN</t>
        </is>
      </c>
      <c r="G286" t="inlineStr">
        <is>
          <t>ALINGSÅS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46299</v>
      </c>
      <c r="E287" s="1" t="n">
        <v>46322</v>
      </c>
      <c r="F287" t="inlineStr">
        <is>
          <t>VÄSTRA GÖTALANDS LÄN</t>
        </is>
      </c>
      <c r="G287" t="inlineStr">
        <is>
          <t>ALINGSÅS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46255</v>
      </c>
      <c r="E288" s="1" t="n">
        <v>46322</v>
      </c>
      <c r="F288" t="inlineStr">
        <is>
          <t>VÄSTRA GÖTALANDS LÄN</t>
        </is>
      </c>
      <c r="G288" t="inlineStr">
        <is>
          <t>ALINGSÅS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46302</v>
      </c>
      <c r="E289" s="1" t="n">
        <v>46322</v>
      </c>
      <c r="F289" t="inlineStr">
        <is>
          <t>VÄSTRA GÖTALANDS LÄN</t>
        </is>
      </c>
      <c r="G289" t="inlineStr">
        <is>
          <t>ALINGSÅS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46322</v>
      </c>
      <c r="F290" t="inlineStr">
        <is>
          <t>VÄSTRA GÖTALANDS LÄN</t>
        </is>
      </c>
      <c r="G290" t="inlineStr">
        <is>
          <t>ALINGSÅS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46322</v>
      </c>
      <c r="F291" t="inlineStr">
        <is>
          <t>VÄSTRA GÖTALANDS LÄN</t>
        </is>
      </c>
      <c r="G291" t="inlineStr">
        <is>
          <t>ALINGSÅS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41634-2026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46302</v>
      </c>
      <c r="E292" s="1" t="n">
        <v>46322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46307</v>
      </c>
      <c r="E293" s="1" t="n">
        <v>46322</v>
      </c>
      <c r="F293" t="inlineStr">
        <is>
          <t>VÄSTRA GÖTALANDS LÄN</t>
        </is>
      </c>
      <c r="G293" t="inlineStr">
        <is>
          <t>ALINGSÅS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46322</v>
      </c>
      <c r="F294" t="inlineStr">
        <is>
          <t>VÄSTRA GÖTALANDS LÄN</t>
        </is>
      </c>
      <c r="G294" t="inlineStr">
        <is>
          <t>ALINGSÅS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45576</v>
      </c>
      <c r="E295" s="1" t="n">
        <v>46322</v>
      </c>
      <c r="F295" t="inlineStr">
        <is>
          <t>VÄSTRA GÖTALANDS LÄN</t>
        </is>
      </c>
      <c r="G295" t="inlineStr">
        <is>
          <t>ALINGSÅS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46262</v>
      </c>
      <c r="E296" s="1" t="n">
        <v>46322</v>
      </c>
      <c r="F296" t="inlineStr">
        <is>
          <t>VÄSTRA GÖTALANDS LÄN</t>
        </is>
      </c>
      <c r="G296" t="inlineStr">
        <is>
          <t>ALINGSÅS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45011</v>
      </c>
      <c r="E297" s="1" t="n">
        <v>46322</v>
      </c>
      <c r="F297" t="inlineStr">
        <is>
          <t>VÄSTRA GÖTALANDS LÄN</t>
        </is>
      </c>
      <c r="G297" t="inlineStr">
        <is>
          <t>ALINGSÅS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59541-2022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44907</v>
      </c>
      <c r="E298" s="1" t="n">
        <v>46322</v>
      </c>
      <c r="F298" t="inlineStr">
        <is>
          <t>VÄSTRA GÖTALANDS LÄN</t>
        </is>
      </c>
      <c r="G298" t="inlineStr">
        <is>
          <t>ALINGSÅS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12318-2022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44637</v>
      </c>
      <c r="E299" s="1" t="n">
        <v>46322</v>
      </c>
      <c r="F299" t="inlineStr">
        <is>
          <t>VÄSTRA GÖTALANDS LÄN</t>
        </is>
      </c>
      <c r="G299" t="inlineStr">
        <is>
          <t>ALINGSÅS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46322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46266</v>
      </c>
      <c r="E301" s="1" t="n">
        <v>46322</v>
      </c>
      <c r="F301" t="inlineStr">
        <is>
          <t>VÄSTRA GÖTALANDS LÄN</t>
        </is>
      </c>
      <c r="G301" t="inlineStr">
        <is>
          <t>ALINGSÅS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45156</v>
      </c>
      <c r="E302" s="1" t="n">
        <v>46322</v>
      </c>
      <c r="F302" t="inlineStr">
        <is>
          <t>VÄSTRA GÖTALANDS LÄN</t>
        </is>
      </c>
      <c r="G302" t="inlineStr">
        <is>
          <t>ALINGSÅS</t>
        </is>
      </c>
      <c r="H302" t="inlineStr">
        <is>
          <t>Kyrkan</t>
        </is>
      </c>
      <c r="I302" t="n">
        <v>9.199999999999999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45465</v>
      </c>
      <c r="E303" s="1" t="n">
        <v>46322</v>
      </c>
      <c r="F303" t="inlineStr">
        <is>
          <t>VÄSTRA GÖTALANDS LÄN</t>
        </is>
      </c>
      <c r="G303" t="inlineStr">
        <is>
          <t>ALINGSÅS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57450-2024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46322</v>
      </c>
      <c r="F304" t="inlineStr">
        <is>
          <t>VÄSTRA GÖTALANDS LÄN</t>
        </is>
      </c>
      <c r="G304" t="inlineStr">
        <is>
          <t>ALINGSÅS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44949</v>
      </c>
      <c r="E305" s="1" t="n">
        <v>46322</v>
      </c>
      <c r="F305" t="inlineStr">
        <is>
          <t>VÄSTRA GÖTALANDS LÄN</t>
        </is>
      </c>
      <c r="G305" t="inlineStr">
        <is>
          <t>ALINGSÅS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45440</v>
      </c>
      <c r="E306" s="1" t="n">
        <v>46322</v>
      </c>
      <c r="F306" t="inlineStr">
        <is>
          <t>VÄSTRA GÖTALANDS LÄN</t>
        </is>
      </c>
      <c r="G306" t="inlineStr">
        <is>
          <t>ALINGSÅS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45271</v>
      </c>
      <c r="E307" s="1" t="n">
        <v>46322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45015</v>
      </c>
      <c r="E308" s="1" t="n">
        <v>46322</v>
      </c>
      <c r="F308" t="inlineStr">
        <is>
          <t>VÄSTRA GÖTALANDS LÄN</t>
        </is>
      </c>
      <c r="G308" t="inlineStr">
        <is>
          <t>ALINGSÅS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46322</v>
      </c>
      <c r="F309" t="inlineStr">
        <is>
          <t>VÄSTRA GÖTALANDS LÄN</t>
        </is>
      </c>
      <c r="G309" t="inlineStr">
        <is>
          <t>ALINGSÅS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43315-2026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46314</v>
      </c>
      <c r="E310" s="1" t="n">
        <v>46322</v>
      </c>
      <c r="F310" t="inlineStr">
        <is>
          <t>VÄSTRA GÖTALANDS LÄN</t>
        </is>
      </c>
      <c r="G310" t="inlineStr">
        <is>
          <t>ALINGSÅS</t>
        </is>
      </c>
      <c r="I310" t="n">
        <v>9.699999999999999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46322</v>
      </c>
      <c r="F311" t="inlineStr">
        <is>
          <t>VÄSTRA GÖTALANDS LÄN</t>
        </is>
      </c>
      <c r="G311" t="inlineStr">
        <is>
          <t>ALINGSÅS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45166</v>
      </c>
      <c r="E312" s="1" t="n">
        <v>46322</v>
      </c>
      <c r="F312" t="inlineStr">
        <is>
          <t>VÄSTRA GÖTALANDS LÄN</t>
        </is>
      </c>
      <c r="G312" t="inlineStr">
        <is>
          <t>ALINGSÅS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46314</v>
      </c>
      <c r="E313" s="1" t="n">
        <v>46322</v>
      </c>
      <c r="F313" t="inlineStr">
        <is>
          <t>VÄSTRA GÖTALANDS LÄN</t>
        </is>
      </c>
      <c r="G313" t="inlineStr">
        <is>
          <t>ALINGSÅS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46316</v>
      </c>
      <c r="E314" s="1" t="n">
        <v>46322</v>
      </c>
      <c r="F314" t="inlineStr">
        <is>
          <t>VÄSTRA GÖTALANDS LÄN</t>
        </is>
      </c>
      <c r="G314" t="inlineStr">
        <is>
          <t>ALINGSÅS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46322</v>
      </c>
      <c r="F315" t="inlineStr">
        <is>
          <t>VÄSTRA GÖTALANDS LÄN</t>
        </is>
      </c>
      <c r="G315" t="inlineStr">
        <is>
          <t>ALINGSÅS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46316</v>
      </c>
      <c r="E316" s="1" t="n">
        <v>46322</v>
      </c>
      <c r="F316" t="inlineStr">
        <is>
          <t>VÄSTRA GÖTALANDS LÄN</t>
        </is>
      </c>
      <c r="G316" t="inlineStr">
        <is>
          <t>ALINGSÅS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46322</v>
      </c>
      <c r="F317" t="inlineStr">
        <is>
          <t>VÄSTRA GÖTALANDS LÄN</t>
        </is>
      </c>
      <c r="G317" t="inlineStr">
        <is>
          <t>ALINGSÅS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46322</v>
      </c>
      <c r="F318" t="inlineStr">
        <is>
          <t>VÄSTRA GÖTALANDS LÄN</t>
        </is>
      </c>
      <c r="G318" t="inlineStr">
        <is>
          <t>ALINGSÅS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46322</v>
      </c>
      <c r="F319" t="inlineStr">
        <is>
          <t>VÄSTRA GÖTALANDS LÄN</t>
        </is>
      </c>
      <c r="G319" t="inlineStr">
        <is>
          <t>ALINGSÅS</t>
        </is>
      </c>
      <c r="I319" t="n">
        <v>60.2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276-2024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45323</v>
      </c>
      <c r="E320" s="1" t="n">
        <v>46322</v>
      </c>
      <c r="F320" t="inlineStr">
        <is>
          <t>VÄSTRA GÖTALANDS LÄN</t>
        </is>
      </c>
      <c r="G320" t="inlineStr">
        <is>
          <t>ALINGSÅS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640-2024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45355</v>
      </c>
      <c r="E321" s="1" t="n">
        <v>46322</v>
      </c>
      <c r="F321" t="inlineStr">
        <is>
          <t>VÄSTRA GÖTALANDS LÄN</t>
        </is>
      </c>
      <c r="G321" t="inlineStr">
        <is>
          <t>ALINGSÅS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1657-2024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45429</v>
      </c>
      <c r="E322" s="1" t="n">
        <v>46322</v>
      </c>
      <c r="F322" t="inlineStr">
        <is>
          <t>VÄSTRA GÖTALANDS LÄN</t>
        </is>
      </c>
      <c r="G322" t="inlineStr">
        <is>
          <t>ALINGSÅS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3691-2024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45552</v>
      </c>
      <c r="E323" s="1" t="n">
        <v>46322</v>
      </c>
      <c r="F323" t="inlineStr">
        <is>
          <t>VÄSTRA GÖTALANDS LÄN</t>
        </is>
      </c>
      <c r="G323" t="inlineStr">
        <is>
          <t>ALINGSÅS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4831-2022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44804</v>
      </c>
      <c r="E324" s="1" t="n">
        <v>46322</v>
      </c>
      <c r="F324" t="inlineStr">
        <is>
          <t>VÄSTRA GÖTALANDS LÄN</t>
        </is>
      </c>
      <c r="G324" t="inlineStr">
        <is>
          <t>ALINGSÅS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278-2024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45323</v>
      </c>
      <c r="E325" s="1" t="n">
        <v>46322</v>
      </c>
      <c r="F325" t="inlineStr">
        <is>
          <t>VÄSTRA GÖTALANDS LÄN</t>
        </is>
      </c>
      <c r="G325" t="inlineStr">
        <is>
          <t>ALINGSÅS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639-2024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45355</v>
      </c>
      <c r="E326" s="1" t="n">
        <v>46322</v>
      </c>
      <c r="F326" t="inlineStr">
        <is>
          <t>VÄSTRA GÖTALANDS LÄN</t>
        </is>
      </c>
      <c r="G326" t="inlineStr">
        <is>
          <t>ALINGSÅS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1784-2025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45813</v>
      </c>
      <c r="E327" s="1" t="n">
        <v>46322</v>
      </c>
      <c r="F327" t="inlineStr">
        <is>
          <t>VÄSTRA GÖTALANDS LÄN</t>
        </is>
      </c>
      <c r="G327" t="inlineStr">
        <is>
          <t>ALINGSÅS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1043-2023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45010</v>
      </c>
      <c r="E328" s="1" t="n">
        <v>46322</v>
      </c>
      <c r="F328" t="inlineStr">
        <is>
          <t>VÄSTRA GÖTALANDS LÄN</t>
        </is>
      </c>
      <c r="G328" t="inlineStr">
        <is>
          <t>ALINGSÅS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2026-10-27T03:10:17Z</dcterms:created>
  <dcterms:modified xmlns:dcterms="http://purl.org/dc/terms/" xmlns:xsi="http://www.w3.org/2001/XMLSchema-instance" xsi:type="dcterms:W3CDTF">2026-10-27T03:10:17Z</dcterms:modified>
</cp:coreProperties>
</file>