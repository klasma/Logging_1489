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45571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45571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45571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45571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45571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45571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50910-2019</t>
        </is>
      </c>
      <c r="B8" s="1" t="n">
        <v>43738</v>
      </c>
      <c r="C8" s="1" t="n">
        <v>45571</v>
      </c>
      <c r="D8" t="inlineStr">
        <is>
          <t>VÄSTRA GÖTALANDS LÄN</t>
        </is>
      </c>
      <c r="E8" t="inlineStr">
        <is>
          <t>ALINGSÅS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Lönnlav</t>
        </is>
      </c>
      <c r="S8">
        <f>HYPERLINK("https://klasma.github.io/Logging_1489/artfynd/A 50910-2019 artfynd.xlsx", "A 50910-2019")</f>
        <v/>
      </c>
      <c r="T8">
        <f>HYPERLINK("https://klasma.github.io/Logging_1489/kartor/A 50910-2019 karta.png", "A 50910-2019")</f>
        <v/>
      </c>
      <c r="V8">
        <f>HYPERLINK("https://klasma.github.io/Logging_1489/klagomål/A 50910-2019 FSC-klagomål.docx", "A 50910-2019")</f>
        <v/>
      </c>
      <c r="W8">
        <f>HYPERLINK("https://klasma.github.io/Logging_1489/klagomålsmail/A 50910-2019 FSC-klagomål mail.docx", "A 50910-2019")</f>
        <v/>
      </c>
      <c r="X8">
        <f>HYPERLINK("https://klasma.github.io/Logging_1489/tillsyn/A 50910-2019 tillsynsbegäran.docx", "A 50910-2019")</f>
        <v/>
      </c>
      <c r="Y8">
        <f>HYPERLINK("https://klasma.github.io/Logging_1489/tillsynsmail/A 50910-2019 tillsynsbegäran mail.docx", "A 50910-2019")</f>
        <v/>
      </c>
    </row>
    <row r="9" ht="15" customHeight="1">
      <c r="A9" t="inlineStr">
        <is>
          <t>A 58206-2019</t>
        </is>
      </c>
      <c r="B9" s="1" t="n">
        <v>43770</v>
      </c>
      <c r="C9" s="1" t="n">
        <v>45571</v>
      </c>
      <c r="D9" t="inlineStr">
        <is>
          <t>VÄSTRA GÖTALANDS LÄN</t>
        </is>
      </c>
      <c r="E9" t="inlineStr">
        <is>
          <t>ALINGSÅS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vattensalamander
Vanlig groda</t>
        </is>
      </c>
      <c r="S9">
        <f>HYPERLINK("https://klasma.github.io/Logging_1489/artfynd/A 58206-2019 artfynd.xlsx", "A 58206-2019")</f>
        <v/>
      </c>
      <c r="T9">
        <f>HYPERLINK("https://klasma.github.io/Logging_1489/kartor/A 58206-2019 karta.png", "A 58206-2019")</f>
        <v/>
      </c>
      <c r="V9">
        <f>HYPERLINK("https://klasma.github.io/Logging_1489/klagomål/A 58206-2019 FSC-klagomål.docx", "A 58206-2019")</f>
        <v/>
      </c>
      <c r="W9">
        <f>HYPERLINK("https://klasma.github.io/Logging_1489/klagomålsmail/A 58206-2019 FSC-klagomål mail.docx", "A 58206-2019")</f>
        <v/>
      </c>
      <c r="X9">
        <f>HYPERLINK("https://klasma.github.io/Logging_1489/tillsyn/A 58206-2019 tillsynsbegäran.docx", "A 58206-2019")</f>
        <v/>
      </c>
      <c r="Y9">
        <f>HYPERLINK("https://klasma.github.io/Logging_1489/tillsynsmail/A 58206-2019 tillsynsbegäran mail.docx", "A 58206-2019")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45571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24498-2020</t>
        </is>
      </c>
      <c r="B11" s="1" t="n">
        <v>43975</v>
      </c>
      <c r="C11" s="1" t="n">
        <v>45571</v>
      </c>
      <c r="D11" t="inlineStr">
        <is>
          <t>VÄSTRA GÖTALANDS LÄN</t>
        </is>
      </c>
      <c r="E11" t="inlineStr">
        <is>
          <t>ALINGSÅS</t>
        </is>
      </c>
      <c r="G11" t="n">
        <v>1.5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HYPERLINK("https://klasma.github.io/Logging_1489/artfynd/A 24498-2020 artfynd.xlsx", "A 24498-2020")</f>
        <v/>
      </c>
      <c r="T11">
        <f>HYPERLINK("https://klasma.github.io/Logging_1489/kartor/A 24498-2020 karta.png", "A 24498-2020")</f>
        <v/>
      </c>
      <c r="U11">
        <f>HYPERLINK("https://klasma.github.io/Logging_1489/knärot/A 24498-2020 karta knärot.png", "A 24498-2020")</f>
        <v/>
      </c>
      <c r="V11">
        <f>HYPERLINK("https://klasma.github.io/Logging_1489/klagomål/A 24498-2020 FSC-klagomål.docx", "A 24498-2020")</f>
        <v/>
      </c>
      <c r="W11">
        <f>HYPERLINK("https://klasma.github.io/Logging_1489/klagomålsmail/A 24498-2020 FSC-klagomål mail.docx", "A 24498-2020")</f>
        <v/>
      </c>
      <c r="X11">
        <f>HYPERLINK("https://klasma.github.io/Logging_1489/tillsyn/A 24498-2020 tillsynsbegäran.docx", "A 24498-2020")</f>
        <v/>
      </c>
      <c r="Y11">
        <f>HYPERLINK("https://klasma.github.io/Logging_1489/tillsynsmail/A 24498-2020 tillsynsbegäran mail.docx", "A 24498-2020")</f>
        <v/>
      </c>
    </row>
    <row r="12" ht="15" customHeight="1">
      <c r="A12" t="inlineStr">
        <is>
          <t>A 26240-2020</t>
        </is>
      </c>
      <c r="B12" s="1" t="n">
        <v>43986</v>
      </c>
      <c r="C12" s="1" t="n">
        <v>45571</v>
      </c>
      <c r="D12" t="inlineStr">
        <is>
          <t>VÄSTRA GÖTALANDS LÄN</t>
        </is>
      </c>
      <c r="E12" t="inlineStr">
        <is>
          <t>ALINGSÅS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Kastanjesopp</t>
        </is>
      </c>
      <c r="S12">
        <f>HYPERLINK("https://klasma.github.io/Logging_1489/artfynd/A 26240-2020 artfynd.xlsx", "A 26240-2020")</f>
        <v/>
      </c>
      <c r="T12">
        <f>HYPERLINK("https://klasma.github.io/Logging_1489/kartor/A 26240-2020 karta.png", "A 26240-2020")</f>
        <v/>
      </c>
      <c r="V12">
        <f>HYPERLINK("https://klasma.github.io/Logging_1489/klagomål/A 26240-2020 FSC-klagomål.docx", "A 26240-2020")</f>
        <v/>
      </c>
      <c r="W12">
        <f>HYPERLINK("https://klasma.github.io/Logging_1489/klagomålsmail/A 26240-2020 FSC-klagomål mail.docx", "A 26240-2020")</f>
        <v/>
      </c>
      <c r="X12">
        <f>HYPERLINK("https://klasma.github.io/Logging_1489/tillsyn/A 26240-2020 tillsynsbegäran.docx", "A 26240-2020")</f>
        <v/>
      </c>
      <c r="Y12">
        <f>HYPERLINK("https://klasma.github.io/Logging_1489/tillsynsmail/A 26240-2020 tillsynsbegäran mail.docx", "A 26240-2020")</f>
        <v/>
      </c>
    </row>
    <row r="13" ht="15" customHeight="1">
      <c r="A13" t="inlineStr">
        <is>
          <t>A 8209-2021</t>
        </is>
      </c>
      <c r="B13" s="1" t="n">
        <v>44244</v>
      </c>
      <c r="C13" s="1" t="n">
        <v>45571</v>
      </c>
      <c r="D13" t="inlineStr">
        <is>
          <t>VÄSTRA GÖTALANDS LÄN</t>
        </is>
      </c>
      <c r="E13" t="inlineStr">
        <is>
          <t>ALINGSÅS</t>
        </is>
      </c>
      <c r="G13" t="n">
        <v>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Björktrast</t>
        </is>
      </c>
      <c r="S13">
        <f>HYPERLINK("https://klasma.github.io/Logging_1489/artfynd/A 8209-2021 artfynd.xlsx", "A 8209-2021")</f>
        <v/>
      </c>
      <c r="T13">
        <f>HYPERLINK("https://klasma.github.io/Logging_1489/kartor/A 8209-2021 karta.png", "A 8209-2021")</f>
        <v/>
      </c>
      <c r="V13">
        <f>HYPERLINK("https://klasma.github.io/Logging_1489/klagomål/A 8209-2021 FSC-klagomål.docx", "A 8209-2021")</f>
        <v/>
      </c>
      <c r="W13">
        <f>HYPERLINK("https://klasma.github.io/Logging_1489/klagomålsmail/A 8209-2021 FSC-klagomål mail.docx", "A 8209-2021")</f>
        <v/>
      </c>
      <c r="X13">
        <f>HYPERLINK("https://klasma.github.io/Logging_1489/tillsyn/A 8209-2021 tillsynsbegäran.docx", "A 8209-2021")</f>
        <v/>
      </c>
      <c r="Y13">
        <f>HYPERLINK("https://klasma.github.io/Logging_1489/tillsynsmail/A 8209-2021 tillsynsbegäran mail.docx", "A 8209-2021")</f>
        <v/>
      </c>
      <c r="Z13">
        <f>HYPERLINK("https://klasma.github.io/Logging_1489/fåglar/A 8209-2021 prioriterade fågelarter.docx", "A 8209-2021")</f>
        <v/>
      </c>
    </row>
    <row r="14" ht="15" customHeight="1">
      <c r="A14" t="inlineStr">
        <is>
          <t>A 46768-2022</t>
        </is>
      </c>
      <c r="B14" s="1" t="n">
        <v>44848</v>
      </c>
      <c r="C14" s="1" t="n">
        <v>45571</v>
      </c>
      <c r="D14" t="inlineStr">
        <is>
          <t>VÄSTRA GÖTALANDS LÄN</t>
        </is>
      </c>
      <c r="E14" t="inlineStr">
        <is>
          <t>ALINGSÅS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Flodkräfta</t>
        </is>
      </c>
      <c r="S14">
        <f>HYPERLINK("https://klasma.github.io/Logging_1489/artfynd/A 46768-2022 artfynd.xlsx", "A 46768-2022")</f>
        <v/>
      </c>
      <c r="T14">
        <f>HYPERLINK("https://klasma.github.io/Logging_1489/kartor/A 46768-2022 karta.png", "A 46768-2022")</f>
        <v/>
      </c>
      <c r="V14">
        <f>HYPERLINK("https://klasma.github.io/Logging_1489/klagomål/A 46768-2022 FSC-klagomål.docx", "A 46768-2022")</f>
        <v/>
      </c>
      <c r="W14">
        <f>HYPERLINK("https://klasma.github.io/Logging_1489/klagomålsmail/A 46768-2022 FSC-klagomål mail.docx", "A 46768-2022")</f>
        <v/>
      </c>
      <c r="X14">
        <f>HYPERLINK("https://klasma.github.io/Logging_1489/tillsyn/A 46768-2022 tillsynsbegäran.docx", "A 46768-2022")</f>
        <v/>
      </c>
      <c r="Y14">
        <f>HYPERLINK("https://klasma.github.io/Logging_1489/tillsynsmail/A 46768-2022 tillsynsbegäran mail.docx", "A 46768-2022")</f>
        <v/>
      </c>
    </row>
    <row r="15" ht="15" customHeight="1">
      <c r="A15" t="inlineStr">
        <is>
          <t>A 26384-2023</t>
        </is>
      </c>
      <c r="B15" s="1" t="n">
        <v>45092</v>
      </c>
      <c r="C15" s="1" t="n">
        <v>45571</v>
      </c>
      <c r="D15" t="inlineStr">
        <is>
          <t>VÄSTRA GÖTALANDS LÄN</t>
        </is>
      </c>
      <c r="E15" t="inlineStr">
        <is>
          <t>ALINGSÅS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26384-2023 artfynd.xlsx", "A 26384-2023")</f>
        <v/>
      </c>
      <c r="T15">
        <f>HYPERLINK("https://klasma.github.io/Logging_1489/kartor/A 26384-2023 karta.png", "A 26384-2023")</f>
        <v/>
      </c>
      <c r="V15">
        <f>HYPERLINK("https://klasma.github.io/Logging_1489/klagomål/A 26384-2023 FSC-klagomål.docx", "A 26384-2023")</f>
        <v/>
      </c>
      <c r="W15">
        <f>HYPERLINK("https://klasma.github.io/Logging_1489/klagomålsmail/A 26384-2023 FSC-klagomål mail.docx", "A 26384-2023")</f>
        <v/>
      </c>
      <c r="X15">
        <f>HYPERLINK("https://klasma.github.io/Logging_1489/tillsyn/A 26384-2023 tillsynsbegäran.docx", "A 26384-2023")</f>
        <v/>
      </c>
      <c r="Y15">
        <f>HYPERLINK("https://klasma.github.io/Logging_1489/tillsynsmail/A 26384-2023 tillsynsbegäran mail.docx", "A 26384-2023")</f>
        <v/>
      </c>
      <c r="Z15">
        <f>HYPERLINK("https://klasma.github.io/Logging_1489/fåglar/A 26384-2023 prioriterade fågelarter.docx", "A 26384-2023")</f>
        <v/>
      </c>
    </row>
    <row r="16" ht="15" customHeight="1">
      <c r="A16" t="inlineStr">
        <is>
          <t>A 56053-2023</t>
        </is>
      </c>
      <c r="B16" s="1" t="n">
        <v>45240</v>
      </c>
      <c r="C16" s="1" t="n">
        <v>45571</v>
      </c>
      <c r="D16" t="inlineStr">
        <is>
          <t>VÄSTRA GÖTALANDS LÄN</t>
        </is>
      </c>
      <c r="E16" t="inlineStr">
        <is>
          <t>ALINGSÅS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HYPERLINK("https://klasma.github.io/Logging_1489/artfynd/A 56053-2023 artfynd.xlsx", "A 56053-2023")</f>
        <v/>
      </c>
      <c r="T16">
        <f>HYPERLINK("https://klasma.github.io/Logging_1489/kartor/A 56053-2023 karta.png", "A 56053-2023")</f>
        <v/>
      </c>
      <c r="V16">
        <f>HYPERLINK("https://klasma.github.io/Logging_1489/klagomål/A 56053-2023 FSC-klagomål.docx", "A 56053-2023")</f>
        <v/>
      </c>
      <c r="W16">
        <f>HYPERLINK("https://klasma.github.io/Logging_1489/klagomålsmail/A 56053-2023 FSC-klagomål mail.docx", "A 56053-2023")</f>
        <v/>
      </c>
      <c r="X16">
        <f>HYPERLINK("https://klasma.github.io/Logging_1489/tillsyn/A 56053-2023 tillsynsbegäran.docx", "A 56053-2023")</f>
        <v/>
      </c>
      <c r="Y16">
        <f>HYPERLINK("https://klasma.github.io/Logging_1489/tillsynsmail/A 56053-2023 tillsynsbegäran mail.docx", "A 56053-2023")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45571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45571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45571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45571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10542-2024</t>
        </is>
      </c>
      <c r="B21" s="1" t="n">
        <v>45366</v>
      </c>
      <c r="C21" s="1" t="n">
        <v>45571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16935-2024</t>
        </is>
      </c>
      <c r="B22" s="1" t="n">
        <v>45411</v>
      </c>
      <c r="C22" s="1" t="n">
        <v>45571</v>
      </c>
      <c r="D22" t="inlineStr">
        <is>
          <t>VÄSTRA GÖTALANDS LÄN</t>
        </is>
      </c>
      <c r="E22" t="inlineStr">
        <is>
          <t>ALINGSÅS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16935-2024 artfynd.xlsx", "A 16935-2024")</f>
        <v/>
      </c>
      <c r="T22">
        <f>HYPERLINK("https://klasma.github.io/Logging_1489/kartor/A 16935-2024 karta.png", "A 16935-2024")</f>
        <v/>
      </c>
      <c r="U22">
        <f>HYPERLINK("https://klasma.github.io/Logging_1489/knärot/A 16935-2024 karta knärot.png", "A 16935-2024")</f>
        <v/>
      </c>
      <c r="V22">
        <f>HYPERLINK("https://klasma.github.io/Logging_1489/klagomål/A 16935-2024 FSC-klagomål.docx", "A 16935-2024")</f>
        <v/>
      </c>
      <c r="W22">
        <f>HYPERLINK("https://klasma.github.io/Logging_1489/klagomålsmail/A 16935-2024 FSC-klagomål mail.docx", "A 16935-2024")</f>
        <v/>
      </c>
      <c r="X22">
        <f>HYPERLINK("https://klasma.github.io/Logging_1489/tillsyn/A 16935-2024 tillsynsbegäran.docx", "A 16935-2024")</f>
        <v/>
      </c>
      <c r="Y22">
        <f>HYPERLINK("https://klasma.github.io/Logging_1489/tillsynsmail/A 16935-2024 tillsynsbegäran mail.docx", "A 16935-2024")</f>
        <v/>
      </c>
    </row>
    <row r="23" ht="15" customHeight="1">
      <c r="A23" t="inlineStr">
        <is>
          <t>A 21662-2024</t>
        </is>
      </c>
      <c r="B23" s="1" t="n">
        <v>45442</v>
      </c>
      <c r="C23" s="1" t="n">
        <v>45571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25832-2024</t>
        </is>
      </c>
      <c r="B24" s="1" t="n">
        <v>45467</v>
      </c>
      <c r="C24" s="1" t="n">
        <v>45571</v>
      </c>
      <c r="D24" t="inlineStr">
        <is>
          <t>VÄSTRA GÖTALANDS LÄN</t>
        </is>
      </c>
      <c r="E24" t="inlineStr">
        <is>
          <t>ALINGSÅS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25832-2024 artfynd.xlsx", "A 25832-2024")</f>
        <v/>
      </c>
      <c r="T24">
        <f>HYPERLINK("https://klasma.github.io/Logging_1489/kartor/A 25832-2024 karta.png", "A 25832-2024")</f>
        <v/>
      </c>
      <c r="U24">
        <f>HYPERLINK("https://klasma.github.io/Logging_1489/knärot/A 25832-2024 karta knärot.png", "A 25832-2024")</f>
        <v/>
      </c>
      <c r="V24">
        <f>HYPERLINK("https://klasma.github.io/Logging_1489/klagomål/A 25832-2024 FSC-klagomål.docx", "A 25832-2024")</f>
        <v/>
      </c>
      <c r="W24">
        <f>HYPERLINK("https://klasma.github.io/Logging_1489/klagomålsmail/A 25832-2024 FSC-klagomål mail.docx", "A 25832-2024")</f>
        <v/>
      </c>
      <c r="X24">
        <f>HYPERLINK("https://klasma.github.io/Logging_1489/tillsyn/A 25832-2024 tillsynsbegäran.docx", "A 25832-2024")</f>
        <v/>
      </c>
      <c r="Y24">
        <f>HYPERLINK("https://klasma.github.io/Logging_1489/tillsynsmail/A 25832-2024 tillsynsbegäran mail.docx", "A 25832-2024")</f>
        <v/>
      </c>
    </row>
    <row r="25" ht="15" customHeight="1">
      <c r="A25" t="inlineStr">
        <is>
          <t>A 29313-2024</t>
        </is>
      </c>
      <c r="B25" s="1" t="n">
        <v>45483</v>
      </c>
      <c r="C25" s="1" t="n">
        <v>45571</v>
      </c>
      <c r="D25" t="inlineStr">
        <is>
          <t>VÄSTRA GÖTALANDS LÄN</t>
        </is>
      </c>
      <c r="E25" t="inlineStr">
        <is>
          <t>ALINGSÅS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HYPERLINK("https://klasma.github.io/Logging_1489/artfynd/A 29313-2024 artfynd.xlsx", "A 29313-2024")</f>
        <v/>
      </c>
      <c r="T25">
        <f>HYPERLINK("https://klasma.github.io/Logging_1489/kartor/A 29313-2024 karta.png", "A 29313-2024")</f>
        <v/>
      </c>
      <c r="V25">
        <f>HYPERLINK("https://klasma.github.io/Logging_1489/klagomål/A 29313-2024 FSC-klagomål.docx", "A 29313-2024")</f>
        <v/>
      </c>
      <c r="W25">
        <f>HYPERLINK("https://klasma.github.io/Logging_1489/klagomålsmail/A 29313-2024 FSC-klagomål mail.docx", "A 29313-2024")</f>
        <v/>
      </c>
      <c r="X25">
        <f>HYPERLINK("https://klasma.github.io/Logging_1489/tillsyn/A 29313-2024 tillsynsbegäran.docx", "A 29313-2024")</f>
        <v/>
      </c>
      <c r="Y25">
        <f>HYPERLINK("https://klasma.github.io/Logging_1489/tillsynsmail/A 29313-2024 tillsynsbegäran mail.docx", "A 29313-2024")</f>
        <v/>
      </c>
    </row>
    <row r="26" ht="15" customHeight="1">
      <c r="A26" t="inlineStr">
        <is>
          <t>A 17734-2019</t>
        </is>
      </c>
      <c r="B26" s="1" t="n">
        <v>43556</v>
      </c>
      <c r="C26" s="1" t="n">
        <v>45571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18080-2019</t>
        </is>
      </c>
      <c r="B27" s="1" t="n">
        <v>43558</v>
      </c>
      <c r="C27" s="1" t="n">
        <v>45571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19460-2019</t>
        </is>
      </c>
      <c r="B28" s="1" t="n">
        <v>43565</v>
      </c>
      <c r="C28" s="1" t="n">
        <v>45571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20231-2019</t>
        </is>
      </c>
      <c r="B29" s="1" t="n">
        <v>43571</v>
      </c>
      <c r="C29" s="1" t="n">
        <v>45571</v>
      </c>
      <c r="D29" t="inlineStr">
        <is>
          <t>VÄSTRA GÖTALANDS LÄN</t>
        </is>
      </c>
      <c r="E29" t="inlineStr">
        <is>
          <t>ALINGSÅS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20977-2019</t>
        </is>
      </c>
      <c r="B30" s="1" t="n">
        <v>43578</v>
      </c>
      <c r="C30" s="1" t="n">
        <v>45571</v>
      </c>
      <c r="D30" t="inlineStr">
        <is>
          <t>VÄSTRA GÖTALANDS LÄN</t>
        </is>
      </c>
      <c r="E30" t="inlineStr">
        <is>
          <t>ALINGSÅS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21902-2019</t>
        </is>
      </c>
      <c r="B31" s="1" t="n">
        <v>43584</v>
      </c>
      <c r="C31" s="1" t="n">
        <v>45571</v>
      </c>
      <c r="D31" t="inlineStr">
        <is>
          <t>VÄSTRA GÖTALANDS LÄN</t>
        </is>
      </c>
      <c r="E31" t="inlineStr">
        <is>
          <t>ALINGSÅS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22930-2019</t>
        </is>
      </c>
      <c r="B32" s="1" t="n">
        <v>43591</v>
      </c>
      <c r="C32" s="1" t="n">
        <v>45571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23223-2019</t>
        </is>
      </c>
      <c r="B33" s="1" t="n">
        <v>43592</v>
      </c>
      <c r="C33" s="1" t="n">
        <v>45571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23220-2019</t>
        </is>
      </c>
      <c r="B34" s="1" t="n">
        <v>43592</v>
      </c>
      <c r="C34" s="1" t="n">
        <v>45571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24205-2019</t>
        </is>
      </c>
      <c r="B35" s="1" t="n">
        <v>43599</v>
      </c>
      <c r="C35" s="1" t="n">
        <v>45571</v>
      </c>
      <c r="D35" t="inlineStr">
        <is>
          <t>VÄSTRA GÖTALANDS LÄN</t>
        </is>
      </c>
      <c r="E35" t="inlineStr">
        <is>
          <t>ALINGSÅS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25649-2019</t>
        </is>
      </c>
      <c r="B36" s="1" t="n">
        <v>43602</v>
      </c>
      <c r="C36" s="1" t="n">
        <v>45571</v>
      </c>
      <c r="D36" t="inlineStr">
        <is>
          <t>VÄSTRA GÖTALANDS LÄN</t>
        </is>
      </c>
      <c r="E36" t="inlineStr">
        <is>
          <t>ALINGSÅS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25646-2019</t>
        </is>
      </c>
      <c r="B37" s="1" t="n">
        <v>43602</v>
      </c>
      <c r="C37" s="1" t="n">
        <v>45571</v>
      </c>
      <c r="D37" t="inlineStr">
        <is>
          <t>VÄSTRA GÖTALANDS LÄN</t>
        </is>
      </c>
      <c r="E37" t="inlineStr">
        <is>
          <t>ALINGSÅS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25728-2019</t>
        </is>
      </c>
      <c r="B38" s="1" t="n">
        <v>43608</v>
      </c>
      <c r="C38" s="1" t="n">
        <v>45571</v>
      </c>
      <c r="D38" t="inlineStr">
        <is>
          <t>VÄSTRA GÖTALANDS LÄN</t>
        </is>
      </c>
      <c r="E38" t="inlineStr">
        <is>
          <t>ALINGSÅS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26386-2019</t>
        </is>
      </c>
      <c r="B39" s="1" t="n">
        <v>43612</v>
      </c>
      <c r="C39" s="1" t="n">
        <v>45571</v>
      </c>
      <c r="D39" t="inlineStr">
        <is>
          <t>VÄSTRA GÖTALANDS LÄN</t>
        </is>
      </c>
      <c r="E39" t="inlineStr">
        <is>
          <t>ALINGSÅS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26387-2019</t>
        </is>
      </c>
      <c r="B40" s="1" t="n">
        <v>43612</v>
      </c>
      <c r="C40" s="1" t="n">
        <v>45571</v>
      </c>
      <c r="D40" t="inlineStr">
        <is>
          <t>VÄSTRA GÖTALANDS LÄN</t>
        </is>
      </c>
      <c r="E40" t="inlineStr">
        <is>
          <t>ALINGSÅS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27943-2019</t>
        </is>
      </c>
      <c r="B41" s="1" t="n">
        <v>43620</v>
      </c>
      <c r="C41" s="1" t="n">
        <v>45571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29040-2019</t>
        </is>
      </c>
      <c r="B42" s="1" t="n">
        <v>43628</v>
      </c>
      <c r="C42" s="1" t="n">
        <v>45571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30231-2019</t>
        </is>
      </c>
      <c r="B43" s="1" t="n">
        <v>43630</v>
      </c>
      <c r="C43" s="1" t="n">
        <v>45571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30454-2019</t>
        </is>
      </c>
      <c r="B44" s="1" t="n">
        <v>43633</v>
      </c>
      <c r="C44" s="1" t="n">
        <v>45571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30516-2019</t>
        </is>
      </c>
      <c r="B45" s="1" t="n">
        <v>43635</v>
      </c>
      <c r="C45" s="1" t="n">
        <v>45571</v>
      </c>
      <c r="D45" t="inlineStr">
        <is>
          <t>VÄSTRA GÖTALANDS LÄN</t>
        </is>
      </c>
      <c r="E45" t="inlineStr">
        <is>
          <t>ALINGSÅS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30908-2019</t>
        </is>
      </c>
      <c r="B46" s="1" t="n">
        <v>43636</v>
      </c>
      <c r="C46" s="1" t="n">
        <v>45571</v>
      </c>
      <c r="D46" t="inlineStr">
        <is>
          <t>VÄSTRA GÖTALANDS LÄN</t>
        </is>
      </c>
      <c r="E46" t="inlineStr">
        <is>
          <t>ALINGSÅS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32951-2019</t>
        </is>
      </c>
      <c r="B47" s="1" t="n">
        <v>43648</v>
      </c>
      <c r="C47" s="1" t="n">
        <v>45571</v>
      </c>
      <c r="D47" t="inlineStr">
        <is>
          <t>VÄSTRA GÖTALANDS LÄN</t>
        </is>
      </c>
      <c r="E47" t="inlineStr">
        <is>
          <t>ALINGSÅS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32947-2019</t>
        </is>
      </c>
      <c r="B48" s="1" t="n">
        <v>43648</v>
      </c>
      <c r="C48" s="1" t="n">
        <v>45571</v>
      </c>
      <c r="D48" t="inlineStr">
        <is>
          <t>VÄSTRA GÖTALANDS LÄN</t>
        </is>
      </c>
      <c r="E48" t="inlineStr">
        <is>
          <t>ALINGSÅS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33366-2019</t>
        </is>
      </c>
      <c r="B49" s="1" t="n">
        <v>43650</v>
      </c>
      <c r="C49" s="1" t="n">
        <v>45571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33885-2019</t>
        </is>
      </c>
      <c r="B50" s="1" t="n">
        <v>43653</v>
      </c>
      <c r="C50" s="1" t="n">
        <v>45571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34662-2019</t>
        </is>
      </c>
      <c r="B51" s="1" t="n">
        <v>43657</v>
      </c>
      <c r="C51" s="1" t="n">
        <v>45571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34941-2019</t>
        </is>
      </c>
      <c r="B52" s="1" t="n">
        <v>43658</v>
      </c>
      <c r="C52" s="1" t="n">
        <v>45571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35951-2019</t>
        </is>
      </c>
      <c r="B53" s="1" t="n">
        <v>43665</v>
      </c>
      <c r="C53" s="1" t="n">
        <v>45571</v>
      </c>
      <c r="D53" t="inlineStr">
        <is>
          <t>VÄSTRA GÖTALANDS LÄN</t>
        </is>
      </c>
      <c r="E53" t="inlineStr">
        <is>
          <t>ALINGSÅS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37361-2019</t>
        </is>
      </c>
      <c r="B54" s="1" t="n">
        <v>43678</v>
      </c>
      <c r="C54" s="1" t="n">
        <v>45571</v>
      </c>
      <c r="D54" t="inlineStr">
        <is>
          <t>VÄSTRA GÖTALANDS LÄN</t>
        </is>
      </c>
      <c r="E54" t="inlineStr">
        <is>
          <t>ALINGSÅS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38192-2019</t>
        </is>
      </c>
      <c r="B55" s="1" t="n">
        <v>43684</v>
      </c>
      <c r="C55" s="1" t="n">
        <v>45571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38195-2019</t>
        </is>
      </c>
      <c r="B56" s="1" t="n">
        <v>43684</v>
      </c>
      <c r="C56" s="1" t="n">
        <v>45571</v>
      </c>
      <c r="D56" t="inlineStr">
        <is>
          <t>VÄSTRA GÖTALANDS LÄN</t>
        </is>
      </c>
      <c r="E56" t="inlineStr">
        <is>
          <t>ALINGSÅS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38730-2019</t>
        </is>
      </c>
      <c r="B57" s="1" t="n">
        <v>43686</v>
      </c>
      <c r="C57" s="1" t="n">
        <v>45571</v>
      </c>
      <c r="D57" t="inlineStr">
        <is>
          <t>VÄSTRA GÖTALANDS LÄN</t>
        </is>
      </c>
      <c r="E57" t="inlineStr">
        <is>
          <t>ALINGSÅS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40388-2019</t>
        </is>
      </c>
      <c r="B58" s="1" t="n">
        <v>43696</v>
      </c>
      <c r="C58" s="1" t="n">
        <v>45571</v>
      </c>
      <c r="D58" t="inlineStr">
        <is>
          <t>VÄSTRA GÖTALANDS LÄN</t>
        </is>
      </c>
      <c r="E58" t="inlineStr">
        <is>
          <t>ALINGSÅS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41113-2019</t>
        </is>
      </c>
      <c r="B59" s="1" t="n">
        <v>43698</v>
      </c>
      <c r="C59" s="1" t="n">
        <v>45571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41723-2019</t>
        </is>
      </c>
      <c r="B60" s="1" t="n">
        <v>43699</v>
      </c>
      <c r="C60" s="1" t="n">
        <v>45571</v>
      </c>
      <c r="D60" t="inlineStr">
        <is>
          <t>VÄSTRA GÖTALANDS LÄN</t>
        </is>
      </c>
      <c r="E60" t="inlineStr">
        <is>
          <t>ALINGSÅS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44389-2019</t>
        </is>
      </c>
      <c r="B61" s="1" t="n">
        <v>43711</v>
      </c>
      <c r="C61" s="1" t="n">
        <v>45571</v>
      </c>
      <c r="D61" t="inlineStr">
        <is>
          <t>VÄSTRA GÖTALANDS LÄN</t>
        </is>
      </c>
      <c r="E61" t="inlineStr">
        <is>
          <t>ALINGSÅS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46561-2019</t>
        </is>
      </c>
      <c r="B62" s="1" t="n">
        <v>43719</v>
      </c>
      <c r="C62" s="1" t="n">
        <v>45571</v>
      </c>
      <c r="D62" t="inlineStr">
        <is>
          <t>VÄSTRA GÖTALANDS LÄN</t>
        </is>
      </c>
      <c r="E62" t="inlineStr">
        <is>
          <t>ALINGSÅS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48319-2019</t>
        </is>
      </c>
      <c r="B63" s="1" t="n">
        <v>43726</v>
      </c>
      <c r="C63" s="1" t="n">
        <v>45571</v>
      </c>
      <c r="D63" t="inlineStr">
        <is>
          <t>VÄSTRA GÖTALANDS LÄN</t>
        </is>
      </c>
      <c r="E63" t="inlineStr">
        <is>
          <t>ALINGSÅS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48322-2019</t>
        </is>
      </c>
      <c r="B64" s="1" t="n">
        <v>43726</v>
      </c>
      <c r="C64" s="1" t="n">
        <v>45571</v>
      </c>
      <c r="D64" t="inlineStr">
        <is>
          <t>VÄSTRA GÖTALANDS LÄN</t>
        </is>
      </c>
      <c r="E64" t="inlineStr">
        <is>
          <t>ALINGSÅS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49787-2019</t>
        </is>
      </c>
      <c r="B65" s="1" t="n">
        <v>43733</v>
      </c>
      <c r="C65" s="1" t="n">
        <v>45571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50210-2019</t>
        </is>
      </c>
      <c r="B66" s="1" t="n">
        <v>43734</v>
      </c>
      <c r="C66" s="1" t="n">
        <v>45571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50236-2019</t>
        </is>
      </c>
      <c r="B67" s="1" t="n">
        <v>43734</v>
      </c>
      <c r="C67" s="1" t="n">
        <v>45571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50363-2019</t>
        </is>
      </c>
      <c r="B68" s="1" t="n">
        <v>43735</v>
      </c>
      <c r="C68" s="1" t="n">
        <v>45571</v>
      </c>
      <c r="D68" t="inlineStr">
        <is>
          <t>VÄSTRA GÖTALANDS LÄN</t>
        </is>
      </c>
      <c r="E68" t="inlineStr">
        <is>
          <t>ALINGSÅS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50832-2019</t>
        </is>
      </c>
      <c r="B69" s="1" t="n">
        <v>43738</v>
      </c>
      <c r="C69" s="1" t="n">
        <v>45571</v>
      </c>
      <c r="D69" t="inlineStr">
        <is>
          <t>VÄSTRA GÖTALANDS LÄN</t>
        </is>
      </c>
      <c r="E69" t="inlineStr">
        <is>
          <t>ALINGSÅS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52060-2019</t>
        </is>
      </c>
      <c r="B70" s="1" t="n">
        <v>43742</v>
      </c>
      <c r="C70" s="1" t="n">
        <v>45571</v>
      </c>
      <c r="D70" t="inlineStr">
        <is>
          <t>VÄSTRA GÖTALANDS LÄN</t>
        </is>
      </c>
      <c r="E70" t="inlineStr">
        <is>
          <t>ALINGSÅS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56953-2019</t>
        </is>
      </c>
      <c r="B71" s="1" t="n">
        <v>43766</v>
      </c>
      <c r="C71" s="1" t="n">
        <v>45571</v>
      </c>
      <c r="D71" t="inlineStr">
        <is>
          <t>VÄSTRA GÖTALANDS LÄN</t>
        </is>
      </c>
      <c r="E71" t="inlineStr">
        <is>
          <t>ALINGSÅS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58907-2019</t>
        </is>
      </c>
      <c r="B72" s="1" t="n">
        <v>43774</v>
      </c>
      <c r="C72" s="1" t="n">
        <v>45571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61427-2019</t>
        </is>
      </c>
      <c r="B73" s="1" t="n">
        <v>43783</v>
      </c>
      <c r="C73" s="1" t="n">
        <v>45571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61766-2019</t>
        </is>
      </c>
      <c r="B74" s="1" t="n">
        <v>43784</v>
      </c>
      <c r="C74" s="1" t="n">
        <v>45571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61706-2019</t>
        </is>
      </c>
      <c r="B75" s="1" t="n">
        <v>43784</v>
      </c>
      <c r="C75" s="1" t="n">
        <v>45571</v>
      </c>
      <c r="D75" t="inlineStr">
        <is>
          <t>VÄSTRA GÖTALANDS LÄN</t>
        </is>
      </c>
      <c r="E75" t="inlineStr">
        <is>
          <t>ALINGSÅS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62223-2019</t>
        </is>
      </c>
      <c r="B76" s="1" t="n">
        <v>43788</v>
      </c>
      <c r="C76" s="1" t="n">
        <v>45571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62996-2019</t>
        </is>
      </c>
      <c r="B77" s="1" t="n">
        <v>43790</v>
      </c>
      <c r="C77" s="1" t="n">
        <v>45571</v>
      </c>
      <c r="D77" t="inlineStr">
        <is>
          <t>VÄSTRA GÖTALANDS LÄN</t>
        </is>
      </c>
      <c r="E77" t="inlineStr">
        <is>
          <t>ALINGSÅS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63542-2019</t>
        </is>
      </c>
      <c r="B78" s="1" t="n">
        <v>43794</v>
      </c>
      <c r="C78" s="1" t="n">
        <v>45571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63705-2019</t>
        </is>
      </c>
      <c r="B79" s="1" t="n">
        <v>43795</v>
      </c>
      <c r="C79" s="1" t="n">
        <v>45571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65209-2019</t>
        </is>
      </c>
      <c r="B80" s="1" t="n">
        <v>43802</v>
      </c>
      <c r="C80" s="1" t="n">
        <v>45571</v>
      </c>
      <c r="D80" t="inlineStr">
        <is>
          <t>VÄSTRA GÖTALANDS LÄN</t>
        </is>
      </c>
      <c r="E80" t="inlineStr">
        <is>
          <t>ALINGSÅS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67326-2019</t>
        </is>
      </c>
      <c r="B81" s="1" t="n">
        <v>43812</v>
      </c>
      <c r="C81" s="1" t="n">
        <v>45571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67895-2019</t>
        </is>
      </c>
      <c r="B82" s="1" t="n">
        <v>43816</v>
      </c>
      <c r="C82" s="1" t="n">
        <v>45571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68909-2019</t>
        </is>
      </c>
      <c r="B83" s="1" t="n">
        <v>43822</v>
      </c>
      <c r="C83" s="1" t="n">
        <v>45571</v>
      </c>
      <c r="D83" t="inlineStr">
        <is>
          <t>VÄSTRA GÖTALANDS LÄN</t>
        </is>
      </c>
      <c r="E83" t="inlineStr">
        <is>
          <t>ALINGSÅS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355-2020</t>
        </is>
      </c>
      <c r="B84" s="1" t="n">
        <v>43837</v>
      </c>
      <c r="C84" s="1" t="n">
        <v>45571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1044-2020</t>
        </is>
      </c>
      <c r="B85" s="1" t="n">
        <v>43839</v>
      </c>
      <c r="C85" s="1" t="n">
        <v>45571</v>
      </c>
      <c r="D85" t="inlineStr">
        <is>
          <t>VÄSTRA GÖTALANDS LÄN</t>
        </is>
      </c>
      <c r="E85" t="inlineStr">
        <is>
          <t>ALINGSÅS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1521-2020</t>
        </is>
      </c>
      <c r="B86" s="1" t="n">
        <v>43843</v>
      </c>
      <c r="C86" s="1" t="n">
        <v>45571</v>
      </c>
      <c r="D86" t="inlineStr">
        <is>
          <t>VÄSTRA GÖTALANDS LÄN</t>
        </is>
      </c>
      <c r="E86" t="inlineStr">
        <is>
          <t>ALINGSÅS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1835-2020</t>
        </is>
      </c>
      <c r="B87" s="1" t="n">
        <v>43844</v>
      </c>
      <c r="C87" s="1" t="n">
        <v>45571</v>
      </c>
      <c r="D87" t="inlineStr">
        <is>
          <t>VÄSTRA GÖTALANDS LÄN</t>
        </is>
      </c>
      <c r="E87" t="inlineStr">
        <is>
          <t>ALINGSÅS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1949-2020</t>
        </is>
      </c>
      <c r="B88" s="1" t="n">
        <v>43845</v>
      </c>
      <c r="C88" s="1" t="n">
        <v>45571</v>
      </c>
      <c r="D88" t="inlineStr">
        <is>
          <t>VÄSTRA GÖTALANDS LÄN</t>
        </is>
      </c>
      <c r="E88" t="inlineStr">
        <is>
          <t>ALINGSÅS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2257-2020</t>
        </is>
      </c>
      <c r="B89" s="1" t="n">
        <v>43846</v>
      </c>
      <c r="C89" s="1" t="n">
        <v>45571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2632-2020</t>
        </is>
      </c>
      <c r="B90" s="1" t="n">
        <v>43847</v>
      </c>
      <c r="C90" s="1" t="n">
        <v>45571</v>
      </c>
      <c r="D90" t="inlineStr">
        <is>
          <t>VÄSTRA GÖTALANDS LÄN</t>
        </is>
      </c>
      <c r="E90" t="inlineStr">
        <is>
          <t>ALINGSÅS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5847-2020</t>
        </is>
      </c>
      <c r="B91" s="1" t="n">
        <v>43864</v>
      </c>
      <c r="C91" s="1" t="n">
        <v>45571</v>
      </c>
      <c r="D91" t="inlineStr">
        <is>
          <t>VÄSTRA GÖTALANDS LÄN</t>
        </is>
      </c>
      <c r="E91" t="inlineStr">
        <is>
          <t>ALINGSÅS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8292-2020</t>
        </is>
      </c>
      <c r="B92" s="1" t="n">
        <v>43875</v>
      </c>
      <c r="C92" s="1" t="n">
        <v>45571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9133-2020</t>
        </is>
      </c>
      <c r="B93" s="1" t="n">
        <v>43879</v>
      </c>
      <c r="C93" s="1" t="n">
        <v>45571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9126-2020</t>
        </is>
      </c>
      <c r="B94" s="1" t="n">
        <v>43879</v>
      </c>
      <c r="C94" s="1" t="n">
        <v>45571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9854-2020</t>
        </is>
      </c>
      <c r="B95" s="1" t="n">
        <v>43882</v>
      </c>
      <c r="C95" s="1" t="n">
        <v>45571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10520-2020</t>
        </is>
      </c>
      <c r="B96" s="1" t="n">
        <v>43886</v>
      </c>
      <c r="C96" s="1" t="n">
        <v>45571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10113-2020</t>
        </is>
      </c>
      <c r="B97" s="1" t="n">
        <v>43887</v>
      </c>
      <c r="C97" s="1" t="n">
        <v>45571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11309-2020</t>
        </is>
      </c>
      <c r="B98" s="1" t="n">
        <v>43892</v>
      </c>
      <c r="C98" s="1" t="n">
        <v>45571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11306-2020</t>
        </is>
      </c>
      <c r="B99" s="1" t="n">
        <v>43892</v>
      </c>
      <c r="C99" s="1" t="n">
        <v>45571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12183-2020</t>
        </is>
      </c>
      <c r="B100" s="1" t="n">
        <v>43895</v>
      </c>
      <c r="C100" s="1" t="n">
        <v>45571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13024-2020</t>
        </is>
      </c>
      <c r="B101" s="1" t="n">
        <v>43900</v>
      </c>
      <c r="C101" s="1" t="n">
        <v>45571</v>
      </c>
      <c r="D101" t="inlineStr">
        <is>
          <t>VÄSTRA GÖTALANDS LÄN</t>
        </is>
      </c>
      <c r="E101" t="inlineStr">
        <is>
          <t>ALINGSÅS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14346-2020</t>
        </is>
      </c>
      <c r="B102" s="1" t="n">
        <v>43908</v>
      </c>
      <c r="C102" s="1" t="n">
        <v>45571</v>
      </c>
      <c r="D102" t="inlineStr">
        <is>
          <t>VÄSTRA GÖTALANDS LÄN</t>
        </is>
      </c>
      <c r="E102" t="inlineStr">
        <is>
          <t>ALINGSÅS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16150-2020</t>
        </is>
      </c>
      <c r="B103" s="1" t="n">
        <v>43916</v>
      </c>
      <c r="C103" s="1" t="n">
        <v>45571</v>
      </c>
      <c r="D103" t="inlineStr">
        <is>
          <t>VÄSTRA GÖTALANDS LÄN</t>
        </is>
      </c>
      <c r="E103" t="inlineStr">
        <is>
          <t>ALINGSÅS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16151-2020</t>
        </is>
      </c>
      <c r="B104" s="1" t="n">
        <v>43916</v>
      </c>
      <c r="C104" s="1" t="n">
        <v>45571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17497-2020</t>
        </is>
      </c>
      <c r="B105" s="1" t="n">
        <v>43920</v>
      </c>
      <c r="C105" s="1" t="n">
        <v>45571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17321-2020</t>
        </is>
      </c>
      <c r="B106" s="1" t="n">
        <v>43922</v>
      </c>
      <c r="C106" s="1" t="n">
        <v>45571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18042-2020</t>
        </is>
      </c>
      <c r="B107" s="1" t="n">
        <v>43927</v>
      </c>
      <c r="C107" s="1" t="n">
        <v>45571</v>
      </c>
      <c r="D107" t="inlineStr">
        <is>
          <t>VÄSTRA GÖTALANDS LÄN</t>
        </is>
      </c>
      <c r="E107" t="inlineStr">
        <is>
          <t>ALINGSÅS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18317-2020</t>
        </is>
      </c>
      <c r="B108" s="1" t="n">
        <v>43928</v>
      </c>
      <c r="C108" s="1" t="n">
        <v>45571</v>
      </c>
      <c r="D108" t="inlineStr">
        <is>
          <t>VÄSTRA GÖTALANDS LÄN</t>
        </is>
      </c>
      <c r="E108" t="inlineStr">
        <is>
          <t>ALINGSÅS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19008-2020</t>
        </is>
      </c>
      <c r="B109" s="1" t="n">
        <v>43936</v>
      </c>
      <c r="C109" s="1" t="n">
        <v>45571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19441-2020</t>
        </is>
      </c>
      <c r="B110" s="1" t="n">
        <v>43938</v>
      </c>
      <c r="C110" s="1" t="n">
        <v>45571</v>
      </c>
      <c r="D110" t="inlineStr">
        <is>
          <t>VÄSTRA GÖTALANDS LÄN</t>
        </is>
      </c>
      <c r="E110" t="inlineStr">
        <is>
          <t>ALINGSÅS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19534-2020</t>
        </is>
      </c>
      <c r="B111" s="1" t="n">
        <v>43941</v>
      </c>
      <c r="C111" s="1" t="n">
        <v>45571</v>
      </c>
      <c r="D111" t="inlineStr">
        <is>
          <t>VÄSTRA GÖTALANDS LÄN</t>
        </is>
      </c>
      <c r="E111" t="inlineStr">
        <is>
          <t>ALINGSÅS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20101-2020</t>
        </is>
      </c>
      <c r="B112" s="1" t="n">
        <v>43944</v>
      </c>
      <c r="C112" s="1" t="n">
        <v>45571</v>
      </c>
      <c r="D112" t="inlineStr">
        <is>
          <t>VÄSTRA GÖTALANDS LÄN</t>
        </is>
      </c>
      <c r="E112" t="inlineStr">
        <is>
          <t>ALINGSÅS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20980-2020</t>
        </is>
      </c>
      <c r="B113" s="1" t="n">
        <v>43950</v>
      </c>
      <c r="C113" s="1" t="n">
        <v>45571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21914-2020</t>
        </is>
      </c>
      <c r="B114" s="1" t="n">
        <v>43958</v>
      </c>
      <c r="C114" s="1" t="n">
        <v>45571</v>
      </c>
      <c r="D114" t="inlineStr">
        <is>
          <t>VÄSTRA GÖTALANDS LÄN</t>
        </is>
      </c>
      <c r="E114" t="inlineStr">
        <is>
          <t>ALINGSÅS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22564-2020</t>
        </is>
      </c>
      <c r="B115" s="1" t="n">
        <v>43963</v>
      </c>
      <c r="C115" s="1" t="n">
        <v>45571</v>
      </c>
      <c r="D115" t="inlineStr">
        <is>
          <t>VÄSTRA GÖTALANDS LÄN</t>
        </is>
      </c>
      <c r="E115" t="inlineStr">
        <is>
          <t>ALINGSÅS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24673-2020</t>
        </is>
      </c>
      <c r="B116" s="1" t="n">
        <v>43978</v>
      </c>
      <c r="C116" s="1" t="n">
        <v>45571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25882-2020</t>
        </is>
      </c>
      <c r="B117" s="1" t="n">
        <v>43984</v>
      </c>
      <c r="C117" s="1" t="n">
        <v>45571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26035-2020</t>
        </is>
      </c>
      <c r="B118" s="1" t="n">
        <v>43985</v>
      </c>
      <c r="C118" s="1" t="n">
        <v>45571</v>
      </c>
      <c r="D118" t="inlineStr">
        <is>
          <t>VÄSTRA GÖTALANDS LÄN</t>
        </is>
      </c>
      <c r="E118" t="inlineStr">
        <is>
          <t>ALINGSÅS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26349-2020</t>
        </is>
      </c>
      <c r="B119" s="1" t="n">
        <v>43986</v>
      </c>
      <c r="C119" s="1" t="n">
        <v>45571</v>
      </c>
      <c r="D119" t="inlineStr">
        <is>
          <t>VÄSTRA GÖTALANDS LÄN</t>
        </is>
      </c>
      <c r="E119" t="inlineStr">
        <is>
          <t>ALINGSÅS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26277-2020</t>
        </is>
      </c>
      <c r="B120" s="1" t="n">
        <v>43986</v>
      </c>
      <c r="C120" s="1" t="n">
        <v>45571</v>
      </c>
      <c r="D120" t="inlineStr">
        <is>
          <t>VÄSTRA GÖTALANDS LÄN</t>
        </is>
      </c>
      <c r="E120" t="inlineStr">
        <is>
          <t>ALINGSÅS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27481-2020</t>
        </is>
      </c>
      <c r="B121" s="1" t="n">
        <v>43993</v>
      </c>
      <c r="C121" s="1" t="n">
        <v>45571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27585-2020</t>
        </is>
      </c>
      <c r="B122" s="1" t="n">
        <v>43993</v>
      </c>
      <c r="C122" s="1" t="n">
        <v>45571</v>
      </c>
      <c r="D122" t="inlineStr">
        <is>
          <t>VÄSTRA GÖTALANDS LÄN</t>
        </is>
      </c>
      <c r="E122" t="inlineStr">
        <is>
          <t>ALINGSÅS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27969-2020</t>
        </is>
      </c>
      <c r="B123" s="1" t="n">
        <v>43997</v>
      </c>
      <c r="C123" s="1" t="n">
        <v>45571</v>
      </c>
      <c r="D123" t="inlineStr">
        <is>
          <t>VÄSTRA GÖTALANDS LÄN</t>
        </is>
      </c>
      <c r="E123" t="inlineStr">
        <is>
          <t>ALINGSÅS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30311-2020</t>
        </is>
      </c>
      <c r="B124" s="1" t="n">
        <v>44007</v>
      </c>
      <c r="C124" s="1" t="n">
        <v>45571</v>
      </c>
      <c r="D124" t="inlineStr">
        <is>
          <t>VÄSTRA GÖTALANDS LÄN</t>
        </is>
      </c>
      <c r="E124" t="inlineStr">
        <is>
          <t>ALINGSÅS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31460-2020</t>
        </is>
      </c>
      <c r="B125" s="1" t="n">
        <v>44013</v>
      </c>
      <c r="C125" s="1" t="n">
        <v>45571</v>
      </c>
      <c r="D125" t="inlineStr">
        <is>
          <t>VÄSTRA GÖTALANDS LÄN</t>
        </is>
      </c>
      <c r="E125" t="inlineStr">
        <is>
          <t>ALINGSÅS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31466-2020</t>
        </is>
      </c>
      <c r="B126" s="1" t="n">
        <v>44013</v>
      </c>
      <c r="C126" s="1" t="n">
        <v>45571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31478-2020</t>
        </is>
      </c>
      <c r="B127" s="1" t="n">
        <v>44013</v>
      </c>
      <c r="C127" s="1" t="n">
        <v>45571</v>
      </c>
      <c r="D127" t="inlineStr">
        <is>
          <t>VÄSTRA GÖTALANDS LÄN</t>
        </is>
      </c>
      <c r="E127" t="inlineStr">
        <is>
          <t>ALINGSÅS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33521-2020</t>
        </is>
      </c>
      <c r="B128" s="1" t="n">
        <v>44025</v>
      </c>
      <c r="C128" s="1" t="n">
        <v>45571</v>
      </c>
      <c r="D128" t="inlineStr">
        <is>
          <t>VÄSTRA GÖTALANDS LÄN</t>
        </is>
      </c>
      <c r="E128" t="inlineStr">
        <is>
          <t>ALINGSÅS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36761-2020</t>
        </is>
      </c>
      <c r="B129" s="1" t="n">
        <v>44053</v>
      </c>
      <c r="C129" s="1" t="n">
        <v>45571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49287-2020</t>
        </is>
      </c>
      <c r="B130" s="1" t="n">
        <v>44105</v>
      </c>
      <c r="C130" s="1" t="n">
        <v>45571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51531-2020</t>
        </is>
      </c>
      <c r="B131" s="1" t="n">
        <v>44113</v>
      </c>
      <c r="C131" s="1" t="n">
        <v>45571</v>
      </c>
      <c r="D131" t="inlineStr">
        <is>
          <t>VÄSTRA GÖTALANDS LÄN</t>
        </is>
      </c>
      <c r="E131" t="inlineStr">
        <is>
          <t>ALINGSÅS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51540-2020</t>
        </is>
      </c>
      <c r="B132" s="1" t="n">
        <v>44113</v>
      </c>
      <c r="C132" s="1" t="n">
        <v>45571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52173-2020</t>
        </is>
      </c>
      <c r="B133" s="1" t="n">
        <v>44117</v>
      </c>
      <c r="C133" s="1" t="n">
        <v>45571</v>
      </c>
      <c r="D133" t="inlineStr">
        <is>
          <t>VÄSTRA GÖTALANDS LÄN</t>
        </is>
      </c>
      <c r="E133" t="inlineStr">
        <is>
          <t>ALINGSÅS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53226-2020</t>
        </is>
      </c>
      <c r="B134" s="1" t="n">
        <v>44123</v>
      </c>
      <c r="C134" s="1" t="n">
        <v>45571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HYPERLINK("https://klasma.github.io/Logging_1489/knärot/A 53226-2020 karta knärot.png", "A 53226-2020")</f>
        <v/>
      </c>
      <c r="V134">
        <f>HYPERLINK("https://klasma.github.io/Logging_1489/klagomål/A 53226-2020 FSC-klagomål.docx", "A 53226-2020")</f>
        <v/>
      </c>
      <c r="W134">
        <f>HYPERLINK("https://klasma.github.io/Logging_1489/klagomålsmail/A 53226-2020 FSC-klagomål mail.docx", "A 53226-2020")</f>
        <v/>
      </c>
      <c r="X134">
        <f>HYPERLINK("https://klasma.github.io/Logging_1489/tillsyn/A 53226-2020 tillsynsbegäran.docx", "A 53226-2020")</f>
        <v/>
      </c>
      <c r="Y134">
        <f>HYPERLINK("https://klasma.github.io/Logging_1489/tillsynsmail/A 53226-2020 tillsynsbegäran mail.docx", "A 53226-2020")</f>
        <v/>
      </c>
    </row>
    <row r="135" ht="15" customHeight="1">
      <c r="A135" t="inlineStr">
        <is>
          <t>A 55479-2020</t>
        </is>
      </c>
      <c r="B135" s="1" t="n">
        <v>44131</v>
      </c>
      <c r="C135" s="1" t="n">
        <v>45571</v>
      </c>
      <c r="D135" t="inlineStr">
        <is>
          <t>VÄSTRA GÖTALANDS LÄN</t>
        </is>
      </c>
      <c r="E135" t="inlineStr">
        <is>
          <t>ALINGSÅS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55525-2020</t>
        </is>
      </c>
      <c r="B136" s="1" t="n">
        <v>44131</v>
      </c>
      <c r="C136" s="1" t="n">
        <v>45571</v>
      </c>
      <c r="D136" t="inlineStr">
        <is>
          <t>VÄSTRA GÖTALANDS LÄN</t>
        </is>
      </c>
      <c r="E136" t="inlineStr">
        <is>
          <t>ALINGSÅS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57203-2020</t>
        </is>
      </c>
      <c r="B137" s="1" t="n">
        <v>44139</v>
      </c>
      <c r="C137" s="1" t="n">
        <v>45571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59059-2020</t>
        </is>
      </c>
      <c r="B138" s="1" t="n">
        <v>44147</v>
      </c>
      <c r="C138" s="1" t="n">
        <v>45571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63118-2020</t>
        </is>
      </c>
      <c r="B139" s="1" t="n">
        <v>44162</v>
      </c>
      <c r="C139" s="1" t="n">
        <v>45571</v>
      </c>
      <c r="D139" t="inlineStr">
        <is>
          <t>VÄSTRA GÖTALANDS LÄN</t>
        </is>
      </c>
      <c r="E139" t="inlineStr">
        <is>
          <t>ALINGSÅS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63970-2020</t>
        </is>
      </c>
      <c r="B140" s="1" t="n">
        <v>44167</v>
      </c>
      <c r="C140" s="1" t="n">
        <v>45571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64952-2020</t>
        </is>
      </c>
      <c r="B141" s="1" t="n">
        <v>44172</v>
      </c>
      <c r="C141" s="1" t="n">
        <v>45571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67662-2020</t>
        </is>
      </c>
      <c r="B142" s="1" t="n">
        <v>44182</v>
      </c>
      <c r="C142" s="1" t="n">
        <v>45571</v>
      </c>
      <c r="D142" t="inlineStr">
        <is>
          <t>VÄSTRA GÖTALANDS LÄN</t>
        </is>
      </c>
      <c r="E142" t="inlineStr">
        <is>
          <t>ALINGSÅS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211-2021</t>
        </is>
      </c>
      <c r="B143" s="1" t="n">
        <v>44200</v>
      </c>
      <c r="C143" s="1" t="n">
        <v>45571</v>
      </c>
      <c r="D143" t="inlineStr">
        <is>
          <t>VÄSTRA GÖTALANDS LÄN</t>
        </is>
      </c>
      <c r="E143" t="inlineStr">
        <is>
          <t>ALINGSÅS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2400-2021</t>
        </is>
      </c>
      <c r="B144" s="1" t="n">
        <v>44211</v>
      </c>
      <c r="C144" s="1" t="n">
        <v>45571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2455-2021</t>
        </is>
      </c>
      <c r="B145" s="1" t="n">
        <v>44214</v>
      </c>
      <c r="C145" s="1" t="n">
        <v>45571</v>
      </c>
      <c r="D145" t="inlineStr">
        <is>
          <t>VÄSTRA GÖTALANDS LÄN</t>
        </is>
      </c>
      <c r="E145" t="inlineStr">
        <is>
          <t>ALINGSÅS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3451-2021</t>
        </is>
      </c>
      <c r="B146" s="1" t="n">
        <v>44218</v>
      </c>
      <c r="C146" s="1" t="n">
        <v>45571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6391-2021</t>
        </is>
      </c>
      <c r="B147" s="1" t="n">
        <v>44235</v>
      </c>
      <c r="C147" s="1" t="n">
        <v>45571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7652-2021</t>
        </is>
      </c>
      <c r="B148" s="1" t="n">
        <v>44242</v>
      </c>
      <c r="C148" s="1" t="n">
        <v>45571</v>
      </c>
      <c r="D148" t="inlineStr">
        <is>
          <t>VÄSTRA GÖTALANDS LÄN</t>
        </is>
      </c>
      <c r="E148" t="inlineStr">
        <is>
          <t>ALINGSÅS</t>
        </is>
      </c>
      <c r="G148" t="n">
        <v>24.7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7991-2021</t>
        </is>
      </c>
      <c r="B149" s="1" t="n">
        <v>44243</v>
      </c>
      <c r="C149" s="1" t="n">
        <v>45571</v>
      </c>
      <c r="D149" t="inlineStr">
        <is>
          <t>VÄSTRA GÖTALANDS LÄN</t>
        </is>
      </c>
      <c r="E149" t="inlineStr">
        <is>
          <t>ALINGSÅS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8011-2021</t>
        </is>
      </c>
      <c r="B150" s="1" t="n">
        <v>44243</v>
      </c>
      <c r="C150" s="1" t="n">
        <v>45571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9452-2021</t>
        </is>
      </c>
      <c r="B151" s="1" t="n">
        <v>44251</v>
      </c>
      <c r="C151" s="1" t="n">
        <v>45571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9726-2021</t>
        </is>
      </c>
      <c r="B152" s="1" t="n">
        <v>44252</v>
      </c>
      <c r="C152" s="1" t="n">
        <v>45571</v>
      </c>
      <c r="D152" t="inlineStr">
        <is>
          <t>VÄSTRA GÖTALANDS LÄN</t>
        </is>
      </c>
      <c r="E152" t="inlineStr">
        <is>
          <t>ALINGSÅS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10689-2021</t>
        </is>
      </c>
      <c r="B153" s="1" t="n">
        <v>44258</v>
      </c>
      <c r="C153" s="1" t="n">
        <v>45571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11025-2021</t>
        </is>
      </c>
      <c r="B154" s="1" t="n">
        <v>44260</v>
      </c>
      <c r="C154" s="1" t="n">
        <v>45571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11399-2021</t>
        </is>
      </c>
      <c r="B155" s="1" t="n">
        <v>44263</v>
      </c>
      <c r="C155" s="1" t="n">
        <v>45571</v>
      </c>
      <c r="D155" t="inlineStr">
        <is>
          <t>VÄSTRA GÖTALANDS LÄN</t>
        </is>
      </c>
      <c r="E155" t="inlineStr">
        <is>
          <t>ALINGSÅS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11987-2021</t>
        </is>
      </c>
      <c r="B156" s="1" t="n">
        <v>44266</v>
      </c>
      <c r="C156" s="1" t="n">
        <v>45571</v>
      </c>
      <c r="D156" t="inlineStr">
        <is>
          <t>VÄSTRA GÖTALANDS LÄN</t>
        </is>
      </c>
      <c r="E156" t="inlineStr">
        <is>
          <t>ALINGSÅS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12910-2021</t>
        </is>
      </c>
      <c r="B157" s="1" t="n">
        <v>44271</v>
      </c>
      <c r="C157" s="1" t="n">
        <v>45571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17260-2021</t>
        </is>
      </c>
      <c r="B158" s="1" t="n">
        <v>44298</v>
      </c>
      <c r="C158" s="1" t="n">
        <v>45571</v>
      </c>
      <c r="D158" t="inlineStr">
        <is>
          <t>VÄSTRA GÖTALANDS LÄN</t>
        </is>
      </c>
      <c r="E158" t="inlineStr">
        <is>
          <t>ALINGSÅS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20448-2021</t>
        </is>
      </c>
      <c r="B159" s="1" t="n">
        <v>44315</v>
      </c>
      <c r="C159" s="1" t="n">
        <v>45571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23164-2021</t>
        </is>
      </c>
      <c r="B160" s="1" t="n">
        <v>44332</v>
      </c>
      <c r="C160" s="1" t="n">
        <v>45571</v>
      </c>
      <c r="D160" t="inlineStr">
        <is>
          <t>VÄSTRA GÖTALANDS LÄN</t>
        </is>
      </c>
      <c r="E160" t="inlineStr">
        <is>
          <t>ALINGSÅS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23273-2021</t>
        </is>
      </c>
      <c r="B161" s="1" t="n">
        <v>44333</v>
      </c>
      <c r="C161" s="1" t="n">
        <v>45571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23827-2021</t>
        </is>
      </c>
      <c r="B162" s="1" t="n">
        <v>44335</v>
      </c>
      <c r="C162" s="1" t="n">
        <v>45571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26636-2021</t>
        </is>
      </c>
      <c r="B163" s="1" t="n">
        <v>44348</v>
      </c>
      <c r="C163" s="1" t="n">
        <v>45571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28251-2021</t>
        </is>
      </c>
      <c r="B164" s="1" t="n">
        <v>44355</v>
      </c>
      <c r="C164" s="1" t="n">
        <v>45571</v>
      </c>
      <c r="D164" t="inlineStr">
        <is>
          <t>VÄSTRA GÖTALANDS LÄN</t>
        </is>
      </c>
      <c r="E164" t="inlineStr">
        <is>
          <t>ALINGSÅS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28717-2021</t>
        </is>
      </c>
      <c r="B165" s="1" t="n">
        <v>44357</v>
      </c>
      <c r="C165" s="1" t="n">
        <v>45571</v>
      </c>
      <c r="D165" t="inlineStr">
        <is>
          <t>VÄSTRA GÖTALANDS LÄN</t>
        </is>
      </c>
      <c r="E165" t="inlineStr">
        <is>
          <t>ALINGSÅS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29186-2021</t>
        </is>
      </c>
      <c r="B166" s="1" t="n">
        <v>44358</v>
      </c>
      <c r="C166" s="1" t="n">
        <v>45571</v>
      </c>
      <c r="D166" t="inlineStr">
        <is>
          <t>VÄSTRA GÖTALANDS LÄN</t>
        </is>
      </c>
      <c r="E166" t="inlineStr">
        <is>
          <t>ALINGSÅS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29824-2021</t>
        </is>
      </c>
      <c r="B167" s="1" t="n">
        <v>44362</v>
      </c>
      <c r="C167" s="1" t="n">
        <v>45571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32993-2021</t>
        </is>
      </c>
      <c r="B168" s="1" t="n">
        <v>44376</v>
      </c>
      <c r="C168" s="1" t="n">
        <v>45571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33764-2021</t>
        </is>
      </c>
      <c r="B169" s="1" t="n">
        <v>44378</v>
      </c>
      <c r="C169" s="1" t="n">
        <v>45571</v>
      </c>
      <c r="D169" t="inlineStr">
        <is>
          <t>VÄSTRA GÖTALANDS LÄN</t>
        </is>
      </c>
      <c r="E169" t="inlineStr">
        <is>
          <t>ALINGSÅS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33652-2021</t>
        </is>
      </c>
      <c r="B170" s="1" t="n">
        <v>44378</v>
      </c>
      <c r="C170" s="1" t="n">
        <v>45571</v>
      </c>
      <c r="D170" t="inlineStr">
        <is>
          <t>VÄSTRA GÖTALANDS LÄN</t>
        </is>
      </c>
      <c r="E170" t="inlineStr">
        <is>
          <t>ALINGSÅS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33769-2021</t>
        </is>
      </c>
      <c r="B171" s="1" t="n">
        <v>44378</v>
      </c>
      <c r="C171" s="1" t="n">
        <v>45571</v>
      </c>
      <c r="D171" t="inlineStr">
        <is>
          <t>VÄSTRA GÖTALANDS LÄN</t>
        </is>
      </c>
      <c r="E171" t="inlineStr">
        <is>
          <t>ALINGSÅS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36106-2021</t>
        </is>
      </c>
      <c r="B172" s="1" t="n">
        <v>44389</v>
      </c>
      <c r="C172" s="1" t="n">
        <v>45571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36120-2021</t>
        </is>
      </c>
      <c r="B173" s="1" t="n">
        <v>44389</v>
      </c>
      <c r="C173" s="1" t="n">
        <v>45571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37425-2021</t>
        </is>
      </c>
      <c r="B174" s="1" t="n">
        <v>44398</v>
      </c>
      <c r="C174" s="1" t="n">
        <v>45571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39963-2021</t>
        </is>
      </c>
      <c r="B175" s="1" t="n">
        <v>44418</v>
      </c>
      <c r="C175" s="1" t="n">
        <v>45571</v>
      </c>
      <c r="D175" t="inlineStr">
        <is>
          <t>VÄSTRA GÖTALANDS LÄN</t>
        </is>
      </c>
      <c r="E175" t="inlineStr">
        <is>
          <t>ALINGSÅS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42451-2021</t>
        </is>
      </c>
      <c r="B176" s="1" t="n">
        <v>44427</v>
      </c>
      <c r="C176" s="1" t="n">
        <v>45571</v>
      </c>
      <c r="D176" t="inlineStr">
        <is>
          <t>VÄSTRA GÖTALANDS LÄN</t>
        </is>
      </c>
      <c r="E176" t="inlineStr">
        <is>
          <t>ALINGSÅS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43809-2021</t>
        </is>
      </c>
      <c r="B177" s="1" t="n">
        <v>44433</v>
      </c>
      <c r="C177" s="1" t="n">
        <v>45571</v>
      </c>
      <c r="D177" t="inlineStr">
        <is>
          <t>VÄSTRA GÖTALANDS LÄN</t>
        </is>
      </c>
      <c r="E177" t="inlineStr">
        <is>
          <t>ALINGSÅS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45328-2021</t>
        </is>
      </c>
      <c r="B178" s="1" t="n">
        <v>44439</v>
      </c>
      <c r="C178" s="1" t="n">
        <v>45571</v>
      </c>
      <c r="D178" t="inlineStr">
        <is>
          <t>VÄSTRA GÖTALANDS LÄN</t>
        </is>
      </c>
      <c r="E178" t="inlineStr">
        <is>
          <t>ALINGSÅS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46491-2021</t>
        </is>
      </c>
      <c r="B179" s="1" t="n">
        <v>44445</v>
      </c>
      <c r="C179" s="1" t="n">
        <v>45571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46883-2021</t>
        </is>
      </c>
      <c r="B180" s="1" t="n">
        <v>44446</v>
      </c>
      <c r="C180" s="1" t="n">
        <v>45571</v>
      </c>
      <c r="D180" t="inlineStr">
        <is>
          <t>VÄSTRA GÖTALANDS LÄN</t>
        </is>
      </c>
      <c r="E180" t="inlineStr">
        <is>
          <t>ALINGSÅS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47187-2021</t>
        </is>
      </c>
      <c r="B181" s="1" t="n">
        <v>44447</v>
      </c>
      <c r="C181" s="1" t="n">
        <v>45571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47781-2021</t>
        </is>
      </c>
      <c r="B182" s="1" t="n">
        <v>44448</v>
      </c>
      <c r="C182" s="1" t="n">
        <v>45571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50039-2021</t>
        </is>
      </c>
      <c r="B183" s="1" t="n">
        <v>44456</v>
      </c>
      <c r="C183" s="1" t="n">
        <v>45571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50448-2021</t>
        </is>
      </c>
      <c r="B184" s="1" t="n">
        <v>44459</v>
      </c>
      <c r="C184" s="1" t="n">
        <v>45571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51167-2021</t>
        </is>
      </c>
      <c r="B185" s="1" t="n">
        <v>44461</v>
      </c>
      <c r="C185" s="1" t="n">
        <v>45571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51169-2021</t>
        </is>
      </c>
      <c r="B186" s="1" t="n">
        <v>44461</v>
      </c>
      <c r="C186" s="1" t="n">
        <v>45571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53887-2021</t>
        </is>
      </c>
      <c r="B187" s="1" t="n">
        <v>44469</v>
      </c>
      <c r="C187" s="1" t="n">
        <v>45571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57347-2021</t>
        </is>
      </c>
      <c r="B188" s="1" t="n">
        <v>44483</v>
      </c>
      <c r="C188" s="1" t="n">
        <v>45571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58558-2021</t>
        </is>
      </c>
      <c r="B189" s="1" t="n">
        <v>44488</v>
      </c>
      <c r="C189" s="1" t="n">
        <v>45571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60657-2021</t>
        </is>
      </c>
      <c r="B190" s="1" t="n">
        <v>44496</v>
      </c>
      <c r="C190" s="1" t="n">
        <v>45571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</v>
      </c>
      <c r="C191" s="1" t="n">
        <v>45571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64211-2021</t>
        </is>
      </c>
      <c r="B192" s="1" t="n">
        <v>44510</v>
      </c>
      <c r="C192" s="1" t="n">
        <v>45571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65210-2021</t>
        </is>
      </c>
      <c r="B193" s="1" t="n">
        <v>44515</v>
      </c>
      <c r="C193" s="1" t="n">
        <v>45571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65571-2021</t>
        </is>
      </c>
      <c r="B194" s="1" t="n">
        <v>44516</v>
      </c>
      <c r="C194" s="1" t="n">
        <v>45571</v>
      </c>
      <c r="D194" t="inlineStr">
        <is>
          <t>VÄSTRA GÖTALANDS LÄN</t>
        </is>
      </c>
      <c r="E194" t="inlineStr">
        <is>
          <t>ALINGSÅS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65624-2021</t>
        </is>
      </c>
      <c r="B195" s="1" t="n">
        <v>44516</v>
      </c>
      <c r="C195" s="1" t="n">
        <v>45571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68899-2021</t>
        </is>
      </c>
      <c r="B196" s="1" t="n">
        <v>44530</v>
      </c>
      <c r="C196" s="1" t="n">
        <v>45571</v>
      </c>
      <c r="D196" t="inlineStr">
        <is>
          <t>VÄSTRA GÖTALANDS LÄN</t>
        </is>
      </c>
      <c r="E196" t="inlineStr">
        <is>
          <t>ALINGSÅS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70426-2021</t>
        </is>
      </c>
      <c r="B197" s="1" t="n">
        <v>44536</v>
      </c>
      <c r="C197" s="1" t="n">
        <v>45571</v>
      </c>
      <c r="D197" t="inlineStr">
        <is>
          <t>VÄSTRA GÖTALANDS LÄN</t>
        </is>
      </c>
      <c r="E197" t="inlineStr">
        <is>
          <t>ALINGSÅS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73187-2021</t>
        </is>
      </c>
      <c r="B198" s="1" t="n">
        <v>44550</v>
      </c>
      <c r="C198" s="1" t="n">
        <v>45571</v>
      </c>
      <c r="D198" t="inlineStr">
        <is>
          <t>VÄSTRA GÖTALANDS LÄN</t>
        </is>
      </c>
      <c r="E198" t="inlineStr">
        <is>
          <t>ALINGSÅS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981-2022</t>
        </is>
      </c>
      <c r="B199" s="1" t="n">
        <v>44568</v>
      </c>
      <c r="C199" s="1" t="n">
        <v>45571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1231-2022</t>
        </is>
      </c>
      <c r="B200" s="1" t="n">
        <v>44572</v>
      </c>
      <c r="C200" s="1" t="n">
        <v>45571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1105-2022</t>
        </is>
      </c>
      <c r="B201" s="1" t="n">
        <v>44572</v>
      </c>
      <c r="C201" s="1" t="n">
        <v>45571</v>
      </c>
      <c r="D201" t="inlineStr">
        <is>
          <t>VÄSTRA GÖTALANDS LÄN</t>
        </is>
      </c>
      <c r="E201" t="inlineStr">
        <is>
          <t>ALINGSÅS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1106-2022</t>
        </is>
      </c>
      <c r="B202" s="1" t="n">
        <v>44572</v>
      </c>
      <c r="C202" s="1" t="n">
        <v>45571</v>
      </c>
      <c r="D202" t="inlineStr">
        <is>
          <t>VÄSTRA GÖTALANDS LÄN</t>
        </is>
      </c>
      <c r="E202" t="inlineStr">
        <is>
          <t>ALINGSÅS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3172-2022</t>
        </is>
      </c>
      <c r="B203" s="1" t="n">
        <v>44582</v>
      </c>
      <c r="C203" s="1" t="n">
        <v>45571</v>
      </c>
      <c r="D203" t="inlineStr">
        <is>
          <t>VÄSTRA GÖTALANDS LÄN</t>
        </is>
      </c>
      <c r="E203" t="inlineStr">
        <is>
          <t>ALINGSÅS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3045-2022</t>
        </is>
      </c>
      <c r="B204" s="1" t="n">
        <v>44582</v>
      </c>
      <c r="C204" s="1" t="n">
        <v>45571</v>
      </c>
      <c r="D204" t="inlineStr">
        <is>
          <t>VÄSTRA GÖTALANDS LÄN</t>
        </is>
      </c>
      <c r="E204" t="inlineStr">
        <is>
          <t>ALINGSÅS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5757-2022</t>
        </is>
      </c>
      <c r="B205" s="1" t="n">
        <v>44596</v>
      </c>
      <c r="C205" s="1" t="n">
        <v>45571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7030-2022</t>
        </is>
      </c>
      <c r="B206" s="1" t="n">
        <v>44603</v>
      </c>
      <c r="C206" s="1" t="n">
        <v>45571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8780-2022</t>
        </is>
      </c>
      <c r="B207" s="1" t="n">
        <v>44614</v>
      </c>
      <c r="C207" s="1" t="n">
        <v>45571</v>
      </c>
      <c r="D207" t="inlineStr">
        <is>
          <t>VÄSTRA GÖTALANDS LÄN</t>
        </is>
      </c>
      <c r="E207" t="inlineStr">
        <is>
          <t>ALINGSÅS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8777-2022</t>
        </is>
      </c>
      <c r="B208" s="1" t="n">
        <v>44614</v>
      </c>
      <c r="C208" s="1" t="n">
        <v>45571</v>
      </c>
      <c r="D208" t="inlineStr">
        <is>
          <t>VÄSTRA GÖTALANDS LÄN</t>
        </is>
      </c>
      <c r="E208" t="inlineStr">
        <is>
          <t>ALINGSÅS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9181-2022</t>
        </is>
      </c>
      <c r="B209" s="1" t="n">
        <v>44615</v>
      </c>
      <c r="C209" s="1" t="n">
        <v>45571</v>
      </c>
      <c r="D209" t="inlineStr">
        <is>
          <t>VÄSTRA GÖTALANDS LÄN</t>
        </is>
      </c>
      <c r="E209" t="inlineStr">
        <is>
          <t>ALINGSÅS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45571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45571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45571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45571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45571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45571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45571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45571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45571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45571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45571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45571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45571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45571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45571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45571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45571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45571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45571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45571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45571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45571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45571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45571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45571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45571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45571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45571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45571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45571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45571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45571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45571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45571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45571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45571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45571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45571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45571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45571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45571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45571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45571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45571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45571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45571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45571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45571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45571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45571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45571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45571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45571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45571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45571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45571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45571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45571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45571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45571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45571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45571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45571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45571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45571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45571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45571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45571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45571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45571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45571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45571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45571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45571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45571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45571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45571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45571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45571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45571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45571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45571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45571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45571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45571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45571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45571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45571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45571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45571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45571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45571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45571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45571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45571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45571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45571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45571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45571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45571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45571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45571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45571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45571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45571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45571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45571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45571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45571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45571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45571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45571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45571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45571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45571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45571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45571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45571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45571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45571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45571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45571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45571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45571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45571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45571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45571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45571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45571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45571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45571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45571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45571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45571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45571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45571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45571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45571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45571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45571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45571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45571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45571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45571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45571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45571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45571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45571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45571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45571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45571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45571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45571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45571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45571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45571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45571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45571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45571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45571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45571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45571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45571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45571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45571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45571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45571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45571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45571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45571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45571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45571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45571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45571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45571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45571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45571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45571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45571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45571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45571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45571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45571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45571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45571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45571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45571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45571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45571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45571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45571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45571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45571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45571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45571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45571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45571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45571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45571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45571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45571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45571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45571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45571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45571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45571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45571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45571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45571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45571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45571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45571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45571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45571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45571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45571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45571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45571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45571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45571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45571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45571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45571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45571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45571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45571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45571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45571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45571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45571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45571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45571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45571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45571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45571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45571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28990-2024</t>
        </is>
      </c>
      <c r="B446" s="1" t="n">
        <v>45481</v>
      </c>
      <c r="C446" s="1" t="n">
        <v>45571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32026-2024</t>
        </is>
      </c>
      <c r="B447" s="1" t="n">
        <v>45510</v>
      </c>
      <c r="C447" s="1" t="n">
        <v>45571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32286-2024</t>
        </is>
      </c>
      <c r="B448" s="1" t="n">
        <v>45512</v>
      </c>
      <c r="C448" s="1" t="n">
        <v>45571</v>
      </c>
      <c r="D448" t="inlineStr">
        <is>
          <t>VÄSTRA GÖTALANDS LÄN</t>
        </is>
      </c>
      <c r="E448" t="inlineStr">
        <is>
          <t>ALINGSÅS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33478-2024</t>
        </is>
      </c>
      <c r="B449" s="1" t="n">
        <v>45519</v>
      </c>
      <c r="C449" s="1" t="n">
        <v>45571</v>
      </c>
      <c r="D449" t="inlineStr">
        <is>
          <t>VÄSTRA GÖTALANDS LÄN</t>
        </is>
      </c>
      <c r="E449" t="inlineStr">
        <is>
          <t>ALINGSÅS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33482-2024</t>
        </is>
      </c>
      <c r="B450" s="1" t="n">
        <v>45519</v>
      </c>
      <c r="C450" s="1" t="n">
        <v>45571</v>
      </c>
      <c r="D450" t="inlineStr">
        <is>
          <t>VÄSTRA GÖTALANDS LÄN</t>
        </is>
      </c>
      <c r="E450" t="inlineStr">
        <is>
          <t>ALINGSÅS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33491-2024</t>
        </is>
      </c>
      <c r="B451" s="1" t="n">
        <v>45519</v>
      </c>
      <c r="C451" s="1" t="n">
        <v>45571</v>
      </c>
      <c r="D451" t="inlineStr">
        <is>
          <t>VÄSTRA GÖTALANDS LÄN</t>
        </is>
      </c>
      <c r="E451" t="inlineStr">
        <is>
          <t>ALINGSÅS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33721-2024</t>
        </is>
      </c>
      <c r="B452" s="1" t="n">
        <v>45520</v>
      </c>
      <c r="C452" s="1" t="n">
        <v>45571</v>
      </c>
      <c r="D452" t="inlineStr">
        <is>
          <t>VÄSTRA GÖTALANDS LÄN</t>
        </is>
      </c>
      <c r="E452" t="inlineStr">
        <is>
          <t>ALINGSÅS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35975-2024</t>
        </is>
      </c>
      <c r="B453" s="1" t="n">
        <v>45533</v>
      </c>
      <c r="C453" s="1" t="n">
        <v>45571</v>
      </c>
      <c r="D453" t="inlineStr">
        <is>
          <t>VÄSTRA GÖTALANDS LÄN</t>
        </is>
      </c>
      <c r="E453" t="inlineStr">
        <is>
          <t>ALINGSÅS</t>
        </is>
      </c>
      <c r="F453" t="inlineStr">
        <is>
          <t>Allmännings- och besparingsskogar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36291-2024</t>
        </is>
      </c>
      <c r="B454" s="1" t="n">
        <v>45534</v>
      </c>
      <c r="C454" s="1" t="n">
        <v>45571</v>
      </c>
      <c r="D454" t="inlineStr">
        <is>
          <t>VÄSTRA GÖTALANDS LÄN</t>
        </is>
      </c>
      <c r="E454" t="inlineStr">
        <is>
          <t>ALINGSÅS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37228-2024</t>
        </is>
      </c>
      <c r="B455" s="1" t="n">
        <v>45539</v>
      </c>
      <c r="C455" s="1" t="n">
        <v>45571</v>
      </c>
      <c r="D455" t="inlineStr">
        <is>
          <t>VÄSTRA GÖTALANDS LÄN</t>
        </is>
      </c>
      <c r="E455" t="inlineStr">
        <is>
          <t>ALINGSÅS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37322-2024</t>
        </is>
      </c>
      <c r="B456" s="1" t="n">
        <v>45540</v>
      </c>
      <c r="C456" s="1" t="n">
        <v>45571</v>
      </c>
      <c r="D456" t="inlineStr">
        <is>
          <t>VÄSTRA GÖTALANDS LÄN</t>
        </is>
      </c>
      <c r="E456" t="inlineStr">
        <is>
          <t>ALINGSÅS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37444-2024</t>
        </is>
      </c>
      <c r="B457" s="1" t="n">
        <v>45540</v>
      </c>
      <c r="C457" s="1" t="n">
        <v>45571</v>
      </c>
      <c r="D457" t="inlineStr">
        <is>
          <t>VÄSTRA GÖTALANDS LÄN</t>
        </is>
      </c>
      <c r="E457" t="inlineStr">
        <is>
          <t>ALINGSÅS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37537-2024</t>
        </is>
      </c>
      <c r="B458" s="1" t="n">
        <v>45541</v>
      </c>
      <c r="C458" s="1" t="n">
        <v>45571</v>
      </c>
      <c r="D458" t="inlineStr">
        <is>
          <t>VÄSTRA GÖTALANDS LÄN</t>
        </is>
      </c>
      <c r="E458" t="inlineStr">
        <is>
          <t>ALINGSÅS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38508-2024</t>
        </is>
      </c>
      <c r="B459" s="1" t="n">
        <v>45546</v>
      </c>
      <c r="C459" s="1" t="n">
        <v>45571</v>
      </c>
      <c r="D459" t="inlineStr">
        <is>
          <t>VÄSTRA GÖTALANDS LÄN</t>
        </is>
      </c>
      <c r="E459" t="inlineStr">
        <is>
          <t>ALINGSÅS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38655-2024</t>
        </is>
      </c>
      <c r="B460" s="1" t="n">
        <v>45547</v>
      </c>
      <c r="C460" s="1" t="n">
        <v>45571</v>
      </c>
      <c r="D460" t="inlineStr">
        <is>
          <t>VÄSTRA GÖTALANDS LÄN</t>
        </is>
      </c>
      <c r="E460" t="inlineStr">
        <is>
          <t>ALINGSÅS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43435-2024</t>
        </is>
      </c>
      <c r="B461" s="1" t="n">
        <v>45568</v>
      </c>
      <c r="C461" s="1" t="n">
        <v>45571</v>
      </c>
      <c r="D461" t="inlineStr">
        <is>
          <t>VÄSTRA GÖTALANDS LÄN</t>
        </is>
      </c>
      <c r="E461" t="inlineStr">
        <is>
          <t>ALINGSÅS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43477-2024</t>
        </is>
      </c>
      <c r="B462" s="1" t="n">
        <v>45568</v>
      </c>
      <c r="C462" s="1" t="n">
        <v>45571</v>
      </c>
      <c r="D462" t="inlineStr">
        <is>
          <t>VÄSTRA GÖTALANDS LÄN</t>
        </is>
      </c>
      <c r="E462" t="inlineStr">
        <is>
          <t>ALINGSÅS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43741-2024</t>
        </is>
      </c>
      <c r="B463" s="1" t="n">
        <v>45569</v>
      </c>
      <c r="C463" s="1" t="n">
        <v>45571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2024-10-06T12:04:12Z</dcterms:created>
  <dcterms:modified xmlns:dcterms="http://purl.org/dc/terms/" xmlns:xsi="http://www.w3.org/2001/XMLSchema-instance" xsi:type="dcterms:W3CDTF">2024-10-06T12:04:12Z</dcterms:modified>
</cp:coreProperties>
</file>