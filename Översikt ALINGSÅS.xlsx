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46312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46312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46312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46312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46312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46312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46312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46312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46312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46312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46312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46312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46312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46312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46312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46312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46312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46312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46312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33222-2026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46246</v>
      </c>
      <c r="E34" s="1" t="n">
        <v>46312</v>
      </c>
      <c r="F34" t="inlineStr">
        <is>
          <t>VÄSTRA GÖTALANDS LÄN</t>
        </is>
      </c>
      <c r="G34" t="inlineStr">
        <is>
          <t>ALINGSÅS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Kornknutmossa</t>
        </is>
      </c>
      <c r="W34">
        <f>HYPERLINK("https://klasma.github.io/Logging_1489/artfynd/A 33222-2026 artfynd.xlsx", "A 33222-2026")</f>
        <v/>
      </c>
      <c r="X34">
        <f>HYPERLINK("https://klasma.github.io/Logging_1489/kartor/A 33222-2026 karta.png", "A 33222-2026")</f>
        <v/>
      </c>
      <c r="Y34">
        <f>HYPERLINK("https://klasma.github.io/Logging_1489/kartor_geotiff/A 33222-2026 georefererad karta.tif", "A 33222-2026")</f>
        <v/>
      </c>
      <c r="AA34">
        <f>HYPERLINK("https://klasma.github.io/Logging_1489/klagomål/A 33222-2026 FSC-klagomål.docx", "A 33222-2026")</f>
        <v/>
      </c>
      <c r="AB34">
        <f>HYPERLINK("https://klasma.github.io/Logging_1489/klagomålsmail/A 33222-2026 FSC-klagomål mail.docx", "A 33222-2026")</f>
        <v/>
      </c>
      <c r="AC34">
        <f>HYPERLINK("https://klasma.github.io/Logging_1489/tillsyn/A 33222-2026 tillsynsbegäran.docx", "A 33222-2026")</f>
        <v/>
      </c>
      <c r="AD34">
        <f>HYPERLINK("https://klasma.github.io/Logging_1489/tillsynsmail/A 33222-2026 tillsynsbegäran mail.docx", "A 33222-2026")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46312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46312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10542-2024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45366</v>
      </c>
      <c r="E37" s="1" t="n">
        <v>46312</v>
      </c>
      <c r="F37" t="inlineStr">
        <is>
          <t>VÄSTRA GÖTALANDS LÄN</t>
        </is>
      </c>
      <c r="G37" t="inlineStr">
        <is>
          <t>ALINGSÅS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Blodticka</t>
        </is>
      </c>
      <c r="W37">
        <f>HYPERLINK("https://klasma.github.io/Logging_1489/artfynd/A 10542-2024 artfynd.xlsx", "A 10542-2024")</f>
        <v/>
      </c>
      <c r="X37">
        <f>HYPERLINK("https://klasma.github.io/Logging_1489/kartor/A 10542-2024 karta.png", "A 10542-2024")</f>
        <v/>
      </c>
      <c r="Y37">
        <f>HYPERLINK("https://klasma.github.io/Logging_1489/kartor_geotiff/A 10542-2024 georefererad karta.tif", "A 10542-2024")</f>
        <v/>
      </c>
      <c r="AA37">
        <f>HYPERLINK("https://klasma.github.io/Logging_1489/klagomål/A 10542-2024 FSC-klagomål.docx", "A 10542-2024")</f>
        <v/>
      </c>
      <c r="AB37">
        <f>HYPERLINK("https://klasma.github.io/Logging_1489/klagomålsmail/A 10542-2024 FSC-klagomål mail.docx", "A 10542-2024")</f>
        <v/>
      </c>
      <c r="AC37">
        <f>HYPERLINK("https://klasma.github.io/Logging_1489/tillsyn/A 10542-2024 tillsynsbegäran.docx", "A 10542-2024")</f>
        <v/>
      </c>
      <c r="AD37">
        <f>HYPERLINK("https://klasma.github.io/Logging_1489/tillsynsmail/A 10542-2024 tillsynsbegäran mail.docx", "A 10542-2024")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46312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46312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46312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46312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46312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46312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46312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46312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46312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65624-2021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46312</v>
      </c>
      <c r="F47" t="inlineStr">
        <is>
          <t>VÄSTRA GÖTALANDS LÄN</t>
        </is>
      </c>
      <c r="G47" t="inlineStr">
        <is>
          <t>ALINGSÅS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46312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46312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46312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46312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46312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46312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46312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46312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46312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46312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46312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46312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46312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46312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46312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46312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46312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46312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46312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46312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46312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46312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46312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46312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46312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46312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46312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46312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46312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46312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46312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46312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46312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46312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46312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46312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46312</v>
      </c>
      <c r="F89" t="inlineStr">
        <is>
          <t>VÄSTRA GÖTALANDS LÄN</t>
        </is>
      </c>
      <c r="G89" t="inlineStr">
        <is>
          <t>ALINGSÅS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46312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46312</v>
      </c>
      <c r="F91" t="inlineStr">
        <is>
          <t>VÄSTRA GÖTALANDS LÄN</t>
        </is>
      </c>
      <c r="G91" t="inlineStr">
        <is>
          <t>ALINGSÅS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46312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46312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46312</v>
      </c>
      <c r="F94" t="inlineStr">
        <is>
          <t>VÄSTRA GÖTALANDS LÄN</t>
        </is>
      </c>
      <c r="G94" t="inlineStr">
        <is>
          <t>ALINGSÅS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46312</v>
      </c>
      <c r="F95" t="inlineStr">
        <is>
          <t>VÄSTRA GÖTALANDS LÄN</t>
        </is>
      </c>
      <c r="G95" t="inlineStr">
        <is>
          <t>ALINGSÅS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46312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46312</v>
      </c>
      <c r="F97" t="inlineStr">
        <is>
          <t>VÄSTRA GÖTALANDS LÄN</t>
        </is>
      </c>
      <c r="G97" t="inlineStr">
        <is>
          <t>ALINGSÅS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46312</v>
      </c>
      <c r="F98" t="inlineStr">
        <is>
          <t>VÄSTRA GÖTALANDS LÄN</t>
        </is>
      </c>
      <c r="G98" t="inlineStr">
        <is>
          <t>ALINGSÅS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46312</v>
      </c>
      <c r="F99" t="inlineStr">
        <is>
          <t>VÄSTRA GÖTALANDS LÄN</t>
        </is>
      </c>
      <c r="G99" t="inlineStr">
        <is>
          <t>ALINGSÅS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44505</v>
      </c>
      <c r="E100" s="1" t="n">
        <v>46312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46312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46312</v>
      </c>
      <c r="F102" t="inlineStr">
        <is>
          <t>VÄSTRA GÖTALANDS LÄN</t>
        </is>
      </c>
      <c r="G102" t="inlineStr">
        <is>
          <t>ALINGSÅS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32286-2024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45512</v>
      </c>
      <c r="E103" s="1" t="n">
        <v>46312</v>
      </c>
      <c r="F103" t="inlineStr">
        <is>
          <t>VÄSTRA GÖTALANDS LÄN</t>
        </is>
      </c>
      <c r="G103" t="inlineStr">
        <is>
          <t>ALINGSÅS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46312</v>
      </c>
      <c r="F104" t="inlineStr">
        <is>
          <t>VÄSTRA GÖTALANDS LÄN</t>
        </is>
      </c>
      <c r="G104" t="inlineStr">
        <is>
          <t>ALINGSÅS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46312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46312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45792</v>
      </c>
      <c r="E107" s="1" t="n">
        <v>46312</v>
      </c>
      <c r="F107" t="inlineStr">
        <is>
          <t>VÄSTRA GÖTALANDS LÄN</t>
        </is>
      </c>
      <c r="G107" t="inlineStr">
        <is>
          <t>ALINGSÅS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46312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46312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46312</v>
      </c>
      <c r="F110" t="inlineStr">
        <is>
          <t>VÄSTRA GÖTALANDS LÄN</t>
        </is>
      </c>
      <c r="G110" t="inlineStr">
        <is>
          <t>ALINGSÅS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46312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46312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46312</v>
      </c>
      <c r="F113" t="inlineStr">
        <is>
          <t>VÄSTRA GÖTALANDS LÄN</t>
        </is>
      </c>
      <c r="G113" t="inlineStr">
        <is>
          <t>ALINGSÅS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46312</v>
      </c>
      <c r="F114" t="inlineStr">
        <is>
          <t>VÄSTRA GÖTALANDS LÄN</t>
        </is>
      </c>
      <c r="G114" t="inlineStr">
        <is>
          <t>ALINGSÅS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45782</v>
      </c>
      <c r="E115" s="1" t="n">
        <v>46312</v>
      </c>
      <c r="F115" t="inlineStr">
        <is>
          <t>VÄSTRA GÖTALANDS LÄN</t>
        </is>
      </c>
      <c r="G115" t="inlineStr">
        <is>
          <t>ALINGSÅS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46312</v>
      </c>
      <c r="F116" t="inlineStr">
        <is>
          <t>VÄSTRA GÖTALANDS LÄN</t>
        </is>
      </c>
      <c r="G116" t="inlineStr">
        <is>
          <t>ALINGSÅS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46312</v>
      </c>
      <c r="F117" t="inlineStr">
        <is>
          <t>VÄSTRA GÖTALANDS LÄN</t>
        </is>
      </c>
      <c r="G117" t="inlineStr">
        <is>
          <t>ALINGSÅS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45465</v>
      </c>
      <c r="E118" s="1" t="n">
        <v>46312</v>
      </c>
      <c r="F118" t="inlineStr">
        <is>
          <t>VÄSTRA GÖTALANDS LÄN</t>
        </is>
      </c>
      <c r="G118" t="inlineStr">
        <is>
          <t>ALINGSÅS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45465</v>
      </c>
      <c r="E119" s="1" t="n">
        <v>46312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46312</v>
      </c>
      <c r="F120" t="inlineStr">
        <is>
          <t>VÄSTRA GÖTALANDS LÄN</t>
        </is>
      </c>
      <c r="G120" t="inlineStr">
        <is>
          <t>ALINGSÅS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46312</v>
      </c>
      <c r="F121" t="inlineStr">
        <is>
          <t>VÄSTRA GÖTALANDS LÄN</t>
        </is>
      </c>
      <c r="G121" t="inlineStr">
        <is>
          <t>ALINGSÅS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46312</v>
      </c>
      <c r="F122" t="inlineStr">
        <is>
          <t>VÄSTRA GÖTALANDS LÄN</t>
        </is>
      </c>
      <c r="G122" t="inlineStr">
        <is>
          <t>ALINGSÅS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46312</v>
      </c>
      <c r="F123" t="inlineStr">
        <is>
          <t>VÄSTRA GÖTALANDS LÄN</t>
        </is>
      </c>
      <c r="G123" t="inlineStr">
        <is>
          <t>ALINGSÅS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46312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42710-2025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45908</v>
      </c>
      <c r="E125" s="1" t="n">
        <v>46312</v>
      </c>
      <c r="F125" t="inlineStr">
        <is>
          <t>VÄSTRA GÖTALANDS LÄN</t>
        </is>
      </c>
      <c r="G125" t="inlineStr">
        <is>
          <t>ALINGSÅS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42711-2025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45908</v>
      </c>
      <c r="E126" s="1" t="n">
        <v>46312</v>
      </c>
      <c r="F126" t="inlineStr">
        <is>
          <t>VÄSTRA GÖTALANDS LÄN</t>
        </is>
      </c>
      <c r="G126" t="inlineStr">
        <is>
          <t>ALINGSÅS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46312</v>
      </c>
      <c r="F127" t="inlineStr">
        <is>
          <t>VÄSTRA GÖTALANDS LÄN</t>
        </is>
      </c>
      <c r="G127" t="inlineStr">
        <is>
          <t>ALINGSÅS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46312</v>
      </c>
      <c r="F128" t="inlineStr">
        <is>
          <t>VÄSTRA GÖTALANDS LÄN</t>
        </is>
      </c>
      <c r="G128" t="inlineStr">
        <is>
          <t>ALINGSÅS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46312</v>
      </c>
      <c r="F129" t="inlineStr">
        <is>
          <t>VÄSTRA GÖTALANDS LÄN</t>
        </is>
      </c>
      <c r="G129" t="inlineStr">
        <is>
          <t>ALINGSÅS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46312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46312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46312</v>
      </c>
      <c r="F132" t="inlineStr">
        <is>
          <t>VÄSTRA GÖTALANDS LÄN</t>
        </is>
      </c>
      <c r="G132" t="inlineStr">
        <is>
          <t>ALINGSÅS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46312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46312</v>
      </c>
      <c r="F134" t="inlineStr">
        <is>
          <t>VÄSTRA GÖTALANDS LÄN</t>
        </is>
      </c>
      <c r="G134" t="inlineStr">
        <is>
          <t>ALINGSÅS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46312</v>
      </c>
      <c r="F135" t="inlineStr">
        <is>
          <t>VÄSTRA GÖTALANDS LÄN</t>
        </is>
      </c>
      <c r="G135" t="inlineStr">
        <is>
          <t>ALINGSÅS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46312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46312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46312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46312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46312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46312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46312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46312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46312</v>
      </c>
      <c r="F144" t="inlineStr">
        <is>
          <t>VÄSTRA GÖTALANDS LÄN</t>
        </is>
      </c>
      <c r="G144" t="inlineStr">
        <is>
          <t>ALINGSÅS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46312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46312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46312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46312</v>
      </c>
      <c r="F148" t="inlineStr">
        <is>
          <t>VÄSTRA GÖTALANDS LÄN</t>
        </is>
      </c>
      <c r="G148" t="inlineStr">
        <is>
          <t>ALINGSÅS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44615</v>
      </c>
      <c r="E149" s="1" t="n">
        <v>46312</v>
      </c>
      <c r="F149" t="inlineStr">
        <is>
          <t>VÄSTRA GÖTALANDS LÄN</t>
        </is>
      </c>
      <c r="G149" t="inlineStr">
        <is>
          <t>ALINGSÅS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46312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46312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46312</v>
      </c>
      <c r="F152" t="inlineStr">
        <is>
          <t>VÄSTRA GÖTALANDS LÄN</t>
        </is>
      </c>
      <c r="G152" t="inlineStr">
        <is>
          <t>ALINGSÅS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46312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46312</v>
      </c>
      <c r="F154" t="inlineStr">
        <is>
          <t>VÄSTRA GÖTALANDS LÄN</t>
        </is>
      </c>
      <c r="G154" t="inlineStr">
        <is>
          <t>ALINGSÅS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45964</v>
      </c>
      <c r="E155" s="1" t="n">
        <v>46312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46312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45966</v>
      </c>
      <c r="E157" s="1" t="n">
        <v>46312</v>
      </c>
      <c r="F157" t="inlineStr">
        <is>
          <t>VÄSTRA GÖTALANDS LÄN</t>
        </is>
      </c>
      <c r="G157" t="inlineStr">
        <is>
          <t>ALINGSÅS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46312</v>
      </c>
      <c r="F158" t="inlineStr">
        <is>
          <t>VÄSTRA GÖTALANDS LÄN</t>
        </is>
      </c>
      <c r="G158" t="inlineStr">
        <is>
          <t>ALINGSÅS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46312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45427</v>
      </c>
      <c r="E160" s="1" t="n">
        <v>46312</v>
      </c>
      <c r="F160" t="inlineStr">
        <is>
          <t>VÄSTRA GÖTALANDS LÄN</t>
        </is>
      </c>
      <c r="G160" t="inlineStr">
        <is>
          <t>ALINGSÅS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46312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46312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46312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45412</v>
      </c>
      <c r="E164" s="1" t="n">
        <v>46312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46312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46312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46312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45310</v>
      </c>
      <c r="E168" s="1" t="n">
        <v>46312</v>
      </c>
      <c r="F168" t="inlineStr">
        <is>
          <t>VÄSTRA GÖTALANDS LÄN</t>
        </is>
      </c>
      <c r="G168" t="inlineStr">
        <is>
          <t>ALINGSÅS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44821</v>
      </c>
      <c r="E169" s="1" t="n">
        <v>46312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46312</v>
      </c>
      <c r="F170" t="inlineStr">
        <is>
          <t>VÄSTRA GÖTALANDS LÄN</t>
        </is>
      </c>
      <c r="G170" t="inlineStr">
        <is>
          <t>ALINGSÅS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46312</v>
      </c>
      <c r="F171" t="inlineStr">
        <is>
          <t>VÄSTRA GÖTALANDS LÄN</t>
        </is>
      </c>
      <c r="G171" t="inlineStr">
        <is>
          <t>ALINGSÅS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46312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46312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46312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45380</v>
      </c>
      <c r="E175" s="1" t="n">
        <v>46312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46312</v>
      </c>
      <c r="F176" t="inlineStr">
        <is>
          <t>VÄSTRA GÖTALANDS LÄN</t>
        </is>
      </c>
      <c r="G176" t="inlineStr">
        <is>
          <t>ALINGSÅS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46312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46312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46312</v>
      </c>
      <c r="F179" t="inlineStr">
        <is>
          <t>VÄSTRA GÖTALANDS LÄN</t>
        </is>
      </c>
      <c r="G179" t="inlineStr">
        <is>
          <t>ALINGSÅS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46312</v>
      </c>
      <c r="F180" t="inlineStr">
        <is>
          <t>VÄSTRA GÖTALANDS LÄN</t>
        </is>
      </c>
      <c r="G180" t="inlineStr">
        <is>
          <t>ALINGSÅS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46312</v>
      </c>
      <c r="F181" t="inlineStr">
        <is>
          <t>VÄSTRA GÖTALANDS LÄN</t>
        </is>
      </c>
      <c r="G181" t="inlineStr">
        <is>
          <t>ALINGSÅS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46312</v>
      </c>
      <c r="F182" t="inlineStr">
        <is>
          <t>VÄSTRA GÖTALANDS LÄN</t>
        </is>
      </c>
      <c r="G182" t="inlineStr">
        <is>
          <t>ALINGSÅS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46312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46312</v>
      </c>
      <c r="F184" t="inlineStr">
        <is>
          <t>VÄSTRA GÖTALANDS LÄN</t>
        </is>
      </c>
      <c r="G184" t="inlineStr">
        <is>
          <t>ALINGSÅS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46312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46312</v>
      </c>
      <c r="F186" t="inlineStr">
        <is>
          <t>VÄSTRA GÖTALANDS LÄN</t>
        </is>
      </c>
      <c r="G186" t="inlineStr">
        <is>
          <t>ALINGSÅS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46312</v>
      </c>
      <c r="F187" t="inlineStr">
        <is>
          <t>VÄSTRA GÖTALANDS LÄN</t>
        </is>
      </c>
      <c r="G187" t="inlineStr">
        <is>
          <t>ALINGSÅS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46312</v>
      </c>
      <c r="F188" t="inlineStr">
        <is>
          <t>VÄSTRA GÖTALANDS LÄN</t>
        </is>
      </c>
      <c r="G188" t="inlineStr">
        <is>
          <t>ALINGSÅS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46312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46312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46312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46312</v>
      </c>
      <c r="F192" t="inlineStr">
        <is>
          <t>VÄSTRA GÖTALANDS LÄN</t>
        </is>
      </c>
      <c r="G192" t="inlineStr">
        <is>
          <t>ALINGSÅS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46312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46312</v>
      </c>
      <c r="F194" t="inlineStr">
        <is>
          <t>VÄSTRA GÖTALANDS LÄN</t>
        </is>
      </c>
      <c r="G194" t="inlineStr">
        <is>
          <t>ALINGSÅS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46312</v>
      </c>
      <c r="F195" t="inlineStr">
        <is>
          <t>VÄSTRA GÖTALANDS LÄN</t>
        </is>
      </c>
      <c r="G195" t="inlineStr">
        <is>
          <t>ALINGSÅS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46312</v>
      </c>
      <c r="F196" t="inlineStr">
        <is>
          <t>VÄSTRA GÖTALANDS LÄN</t>
        </is>
      </c>
      <c r="G196" t="inlineStr">
        <is>
          <t>ALINGSÅS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46312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46312</v>
      </c>
      <c r="F198" t="inlineStr">
        <is>
          <t>VÄSTRA GÖTALANDS LÄN</t>
        </is>
      </c>
      <c r="G198" t="inlineStr">
        <is>
          <t>ALINGSÅS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46312</v>
      </c>
      <c r="F199" t="inlineStr">
        <is>
          <t>VÄSTRA GÖTALANDS LÄN</t>
        </is>
      </c>
      <c r="G199" t="inlineStr">
        <is>
          <t>ALINGSÅS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46312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46312</v>
      </c>
      <c r="F201" t="inlineStr">
        <is>
          <t>VÄSTRA GÖTALANDS LÄN</t>
        </is>
      </c>
      <c r="G201" t="inlineStr">
        <is>
          <t>ALINGSÅS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46312</v>
      </c>
      <c r="F202" t="inlineStr">
        <is>
          <t>VÄSTRA GÖTALANDS LÄN</t>
        </is>
      </c>
      <c r="G202" t="inlineStr">
        <is>
          <t>ALINGSÅS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46312</v>
      </c>
      <c r="F203" t="inlineStr">
        <is>
          <t>VÄSTRA GÖTALANDS LÄN</t>
        </is>
      </c>
      <c r="G203" t="inlineStr">
        <is>
          <t>ALINGSÅS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46312</v>
      </c>
      <c r="F204" t="inlineStr">
        <is>
          <t>VÄSTRA GÖTALANDS LÄN</t>
        </is>
      </c>
      <c r="G204" t="inlineStr">
        <is>
          <t>ALINGSÅS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46312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46312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46312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46312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46312</v>
      </c>
      <c r="F209" t="inlineStr">
        <is>
          <t>VÄSTRA GÖTALANDS LÄN</t>
        </is>
      </c>
      <c r="G209" t="inlineStr">
        <is>
          <t>ALINGSÅS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46312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46312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46312</v>
      </c>
      <c r="F212" t="inlineStr">
        <is>
          <t>VÄSTRA GÖTALANDS LÄN</t>
        </is>
      </c>
      <c r="G212" t="inlineStr">
        <is>
          <t>ALINGSÅS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46312</v>
      </c>
      <c r="F213" t="inlineStr">
        <is>
          <t>VÄSTRA GÖTALANDS LÄN</t>
        </is>
      </c>
      <c r="G213" t="inlineStr">
        <is>
          <t>ALINGSÅS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46312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46312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46312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46312</v>
      </c>
      <c r="F217" t="inlineStr">
        <is>
          <t>VÄSTRA GÖTALANDS LÄN</t>
        </is>
      </c>
      <c r="G217" t="inlineStr">
        <is>
          <t>ALINGSÅS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46312</v>
      </c>
      <c r="F218" t="inlineStr">
        <is>
          <t>VÄSTRA GÖTALANDS LÄN</t>
        </is>
      </c>
      <c r="G218" t="inlineStr">
        <is>
          <t>ALINGSÅS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46312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46312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45391</v>
      </c>
      <c r="E221" s="1" t="n">
        <v>46312</v>
      </c>
      <c r="F221" t="inlineStr">
        <is>
          <t>VÄSTRA GÖTALANDS LÄN</t>
        </is>
      </c>
      <c r="G221" t="inlineStr">
        <is>
          <t>ALINGSÅS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46312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46312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46312</v>
      </c>
      <c r="F224" t="inlineStr">
        <is>
          <t>VÄSTRA GÖTALANDS LÄN</t>
        </is>
      </c>
      <c r="G224" t="inlineStr">
        <is>
          <t>ALINGSÅS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46312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46312</v>
      </c>
      <c r="F226" t="inlineStr">
        <is>
          <t>VÄSTRA GÖTALANDS LÄN</t>
        </is>
      </c>
      <c r="G226" t="inlineStr">
        <is>
          <t>ALINGSÅS</t>
        </is>
      </c>
      <c r="I226" t="n">
        <v>21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46312</v>
      </c>
      <c r="F227" t="inlineStr">
        <is>
          <t>VÄSTRA GÖTALANDS LÄN</t>
        </is>
      </c>
      <c r="G227" t="inlineStr">
        <is>
          <t>ALINGSÅS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46312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46312</v>
      </c>
      <c r="F229" t="inlineStr">
        <is>
          <t>VÄSTRA GÖTALANDS LÄN</t>
        </is>
      </c>
      <c r="G229" t="inlineStr">
        <is>
          <t>ALINGSÅS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46312</v>
      </c>
      <c r="F230" t="inlineStr">
        <is>
          <t>VÄSTRA GÖTALANDS LÄN</t>
        </is>
      </c>
      <c r="G230" t="inlineStr">
        <is>
          <t>ALINGSÅS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46312</v>
      </c>
      <c r="F231" t="inlineStr">
        <is>
          <t>VÄSTRA GÖTALANDS LÄN</t>
        </is>
      </c>
      <c r="G231" t="inlineStr">
        <is>
          <t>ALINGSÅS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46312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46312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46126</v>
      </c>
      <c r="E234" s="1" t="n">
        <v>46312</v>
      </c>
      <c r="F234" t="inlineStr">
        <is>
          <t>VÄSTRA GÖTALANDS LÄN</t>
        </is>
      </c>
      <c r="G234" t="inlineStr">
        <is>
          <t>ALINGSÅS</t>
        </is>
      </c>
      <c r="H234" t="inlineStr">
        <is>
          <t>Kommuner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46129</v>
      </c>
      <c r="E235" s="1" t="n">
        <v>46312</v>
      </c>
      <c r="F235" t="inlineStr">
        <is>
          <t>VÄSTRA GÖTALANDS LÄN</t>
        </is>
      </c>
      <c r="G235" t="inlineStr">
        <is>
          <t>ALINGSÅS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46312</v>
      </c>
      <c r="F236" t="inlineStr">
        <is>
          <t>VÄSTRA GÖTALANDS LÄN</t>
        </is>
      </c>
      <c r="G236" t="inlineStr">
        <is>
          <t>ALINGSÅS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46312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46312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46312</v>
      </c>
      <c r="F239" t="inlineStr">
        <is>
          <t>VÄSTRA GÖTALANDS LÄN</t>
        </is>
      </c>
      <c r="G239" t="inlineStr">
        <is>
          <t>ALINGSÅS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46312</v>
      </c>
      <c r="F240" t="inlineStr">
        <is>
          <t>VÄSTRA GÖTALANDS LÄN</t>
        </is>
      </c>
      <c r="G240" t="inlineStr">
        <is>
          <t>ALINGSÅS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46312</v>
      </c>
      <c r="F241" t="inlineStr">
        <is>
          <t>VÄSTRA GÖTALANDS LÄN</t>
        </is>
      </c>
      <c r="G241" t="inlineStr">
        <is>
          <t>ALINGSÅS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46312</v>
      </c>
      <c r="F242" t="inlineStr">
        <is>
          <t>VÄSTRA GÖTALANDS LÄN</t>
        </is>
      </c>
      <c r="G242" t="inlineStr">
        <is>
          <t>ALINGSÅS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46312</v>
      </c>
      <c r="F243" t="inlineStr">
        <is>
          <t>VÄSTRA GÖTALANDS LÄN</t>
        </is>
      </c>
      <c r="G243" t="inlineStr">
        <is>
          <t>ALINGSÅS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46312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45011</v>
      </c>
      <c r="E245" s="1" t="n">
        <v>46312</v>
      </c>
      <c r="F245" t="inlineStr">
        <is>
          <t>VÄSTRA GÖTALANDS LÄN</t>
        </is>
      </c>
      <c r="G245" t="inlineStr">
        <is>
          <t>ALINGSÅS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46312</v>
      </c>
      <c r="F246" t="inlineStr">
        <is>
          <t>VÄSTRA GÖTALANDS LÄN</t>
        </is>
      </c>
      <c r="G246" t="inlineStr">
        <is>
          <t>ALINGSÅS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44637</v>
      </c>
      <c r="E247" s="1" t="n">
        <v>46312</v>
      </c>
      <c r="F247" t="inlineStr">
        <is>
          <t>VÄSTRA GÖTALANDS LÄN</t>
        </is>
      </c>
      <c r="G247" t="inlineStr">
        <is>
          <t>ALINGSÅS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46312</v>
      </c>
      <c r="F248" t="inlineStr">
        <is>
          <t>VÄSTRA GÖTALANDS LÄN</t>
        </is>
      </c>
      <c r="G248" t="inlineStr">
        <is>
          <t>ALINGSÅS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46312</v>
      </c>
      <c r="F249" t="inlineStr">
        <is>
          <t>VÄSTRA GÖTALANDS LÄN</t>
        </is>
      </c>
      <c r="G249" t="inlineStr">
        <is>
          <t>ALINGSÅS</t>
        </is>
      </c>
      <c r="H249" t="inlineStr">
        <is>
          <t>Kyrkan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46312</v>
      </c>
      <c r="F250" t="inlineStr">
        <is>
          <t>VÄSTRA GÖTALANDS LÄN</t>
        </is>
      </c>
      <c r="G250" t="inlineStr">
        <is>
          <t>ALINGSÅS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46312</v>
      </c>
      <c r="F251" t="inlineStr">
        <is>
          <t>VÄSTRA GÖTALANDS LÄN</t>
        </is>
      </c>
      <c r="G251" t="inlineStr">
        <is>
          <t>ALINGSÅS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46312</v>
      </c>
      <c r="F252" t="inlineStr">
        <is>
          <t>VÄSTRA GÖTALANDS LÄN</t>
        </is>
      </c>
      <c r="G252" t="inlineStr">
        <is>
          <t>ALINGSÅS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46312</v>
      </c>
      <c r="F253" t="inlineStr">
        <is>
          <t>VÄSTRA GÖTALANDS LÄN</t>
        </is>
      </c>
      <c r="G253" t="inlineStr">
        <is>
          <t>ALINGSÅS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46312</v>
      </c>
      <c r="F254" t="inlineStr">
        <is>
          <t>VÄSTRA GÖTALANDS LÄN</t>
        </is>
      </c>
      <c r="G254" t="inlineStr">
        <is>
          <t>ALINGSÅS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46312</v>
      </c>
      <c r="F255" t="inlineStr">
        <is>
          <t>VÄSTRA GÖTALANDS LÄN</t>
        </is>
      </c>
      <c r="G255" t="inlineStr">
        <is>
          <t>ALINGSÅS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46312</v>
      </c>
      <c r="F256" t="inlineStr">
        <is>
          <t>VÄSTRA GÖTALANDS LÄN</t>
        </is>
      </c>
      <c r="G256" t="inlineStr">
        <is>
          <t>ALINGSÅS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46312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46312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46312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46312</v>
      </c>
      <c r="F260" t="inlineStr">
        <is>
          <t>VÄSTRA GÖTALANDS LÄN</t>
        </is>
      </c>
      <c r="G260" t="inlineStr">
        <is>
          <t>ALINGSÅS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44816</v>
      </c>
      <c r="E261" s="1" t="n">
        <v>46312</v>
      </c>
      <c r="F261" t="inlineStr">
        <is>
          <t>VÄSTRA GÖTALANDS LÄN</t>
        </is>
      </c>
      <c r="G261" t="inlineStr">
        <is>
          <t>ALINGSÅS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46312</v>
      </c>
      <c r="F262" t="inlineStr">
        <is>
          <t>VÄSTRA GÖTALANDS LÄN</t>
        </is>
      </c>
      <c r="G262" t="inlineStr">
        <is>
          <t>ALINGSÅS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46312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46312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46312</v>
      </c>
      <c r="F265" t="inlineStr">
        <is>
          <t>VÄSTRA GÖTALANDS LÄN</t>
        </is>
      </c>
      <c r="G265" t="inlineStr">
        <is>
          <t>ALINGSÅS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46290</v>
      </c>
      <c r="E266" s="1" t="n">
        <v>46312</v>
      </c>
      <c r="F266" t="inlineStr">
        <is>
          <t>VÄSTRA GÖTALANDS LÄN</t>
        </is>
      </c>
      <c r="G266" t="inlineStr">
        <is>
          <t>ALINGSÅS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46312</v>
      </c>
      <c r="F267" t="inlineStr">
        <is>
          <t>VÄSTRA GÖTALANDS LÄN</t>
        </is>
      </c>
      <c r="G267" t="inlineStr">
        <is>
          <t>ALINGSÅS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46312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46312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46312</v>
      </c>
      <c r="F270" t="inlineStr">
        <is>
          <t>VÄSTRA GÖTALANDS LÄN</t>
        </is>
      </c>
      <c r="G270" t="inlineStr">
        <is>
          <t>ALINGSÅS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45465</v>
      </c>
      <c r="E271" s="1" t="n">
        <v>46312</v>
      </c>
      <c r="F271" t="inlineStr">
        <is>
          <t>VÄSTRA GÖTALANDS LÄN</t>
        </is>
      </c>
      <c r="G271" t="inlineStr">
        <is>
          <t>ALINGSÅS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46312</v>
      </c>
      <c r="F272" t="inlineStr">
        <is>
          <t>VÄSTRA GÖTALANDS LÄN</t>
        </is>
      </c>
      <c r="G272" t="inlineStr">
        <is>
          <t>ALINGSÅS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46312</v>
      </c>
      <c r="F273" t="inlineStr">
        <is>
          <t>VÄSTRA GÖTALANDS LÄN</t>
        </is>
      </c>
      <c r="G273" t="inlineStr">
        <is>
          <t>ALINGSÅS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39612-2026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46289</v>
      </c>
      <c r="E274" s="1" t="n">
        <v>46312</v>
      </c>
      <c r="F274" t="inlineStr">
        <is>
          <t>VÄSTRA GÖTALANDS LÄN</t>
        </is>
      </c>
      <c r="G274" t="inlineStr">
        <is>
          <t>ALINGSÅS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46294</v>
      </c>
      <c r="E275" s="1" t="n">
        <v>46312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46312</v>
      </c>
      <c r="F276" t="inlineStr">
        <is>
          <t>VÄSTRA GÖTALANDS LÄN</t>
        </is>
      </c>
      <c r="G276" t="inlineStr">
        <is>
          <t>ALINGSÅS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46296</v>
      </c>
      <c r="E277" s="1" t="n">
        <v>46312</v>
      </c>
      <c r="F277" t="inlineStr">
        <is>
          <t>VÄSTRA GÖTALANDS LÄN</t>
        </is>
      </c>
      <c r="G277" t="inlineStr">
        <is>
          <t>ALINGSÅS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46312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46296</v>
      </c>
      <c r="E279" s="1" t="n">
        <v>46312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46312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46312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46312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46300</v>
      </c>
      <c r="E283" s="1" t="n">
        <v>46312</v>
      </c>
      <c r="F283" t="inlineStr">
        <is>
          <t>VÄSTRA GÖTALANDS LÄN</t>
        </is>
      </c>
      <c r="G283" t="inlineStr">
        <is>
          <t>ALINGSÅS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46312</v>
      </c>
      <c r="F284" t="inlineStr">
        <is>
          <t>VÄSTRA GÖTALANDS LÄN</t>
        </is>
      </c>
      <c r="G284" t="inlineStr">
        <is>
          <t>ALINGSÅS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46299</v>
      </c>
      <c r="E285" s="1" t="n">
        <v>46312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46255</v>
      </c>
      <c r="E286" s="1" t="n">
        <v>46312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45519</v>
      </c>
      <c r="E287" s="1" t="n">
        <v>46312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46302</v>
      </c>
      <c r="E288" s="1" t="n">
        <v>46312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46302</v>
      </c>
      <c r="E289" s="1" t="n">
        <v>46312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46312</v>
      </c>
      <c r="F290" t="inlineStr">
        <is>
          <t>VÄSTRA GÖTALANDS LÄN</t>
        </is>
      </c>
      <c r="G290" t="inlineStr">
        <is>
          <t>ALINGSÅS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46312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46312</v>
      </c>
      <c r="F292" t="inlineStr">
        <is>
          <t>VÄSTRA GÖTALANDS LÄN</t>
        </is>
      </c>
      <c r="G292" t="inlineStr">
        <is>
          <t>ALINGSÅS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46312</v>
      </c>
      <c r="F293" t="inlineStr">
        <is>
          <t>VÄSTRA GÖTALANDS LÄN</t>
        </is>
      </c>
      <c r="G293" t="inlineStr">
        <is>
          <t>ALINGSÅS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46312</v>
      </c>
      <c r="F294" t="inlineStr">
        <is>
          <t>VÄSTRA GÖTALANDS LÄN</t>
        </is>
      </c>
      <c r="G294" t="inlineStr">
        <is>
          <t>ALINGSÅS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46262</v>
      </c>
      <c r="E295" s="1" t="n">
        <v>46312</v>
      </c>
      <c r="F295" t="inlineStr">
        <is>
          <t>VÄSTRA GÖTALANDS LÄN</t>
        </is>
      </c>
      <c r="G295" t="inlineStr">
        <is>
          <t>ALINGSÅS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46312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46312</v>
      </c>
      <c r="F297" t="inlineStr">
        <is>
          <t>VÄSTRA GÖTALANDS LÄN</t>
        </is>
      </c>
      <c r="G297" t="inlineStr">
        <is>
          <t>ALINGSÅS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46312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46312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46266</v>
      </c>
      <c r="E300" s="1" t="n">
        <v>46312</v>
      </c>
      <c r="F300" t="inlineStr">
        <is>
          <t>VÄSTRA GÖTALANDS LÄN</t>
        </is>
      </c>
      <c r="G300" t="inlineStr">
        <is>
          <t>ALINGSÅS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54579-2024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45617</v>
      </c>
      <c r="E301" s="1" t="n">
        <v>46312</v>
      </c>
      <c r="F301" t="inlineStr">
        <is>
          <t>VÄSTRA GÖTALANDS LÄN</t>
        </is>
      </c>
      <c r="G301" t="inlineStr">
        <is>
          <t>ALINGSÅS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46312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46312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46312</v>
      </c>
      <c r="F304" t="inlineStr">
        <is>
          <t>VÄSTRA GÖTALANDS LÄN</t>
        </is>
      </c>
      <c r="G304" t="inlineStr">
        <is>
          <t>ALINGSÅS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46312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46312</v>
      </c>
      <c r="F306" t="inlineStr">
        <is>
          <t>VÄSTRA GÖTALANDS LÄN</t>
        </is>
      </c>
      <c r="G306" t="inlineStr">
        <is>
          <t>ALINGSÅS</t>
        </is>
      </c>
      <c r="H306" t="inlineStr">
        <is>
          <t>Kyrkan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46312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46312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46312</v>
      </c>
      <c r="F309" t="inlineStr">
        <is>
          <t>VÄSTRA GÖTALANDS LÄN</t>
        </is>
      </c>
      <c r="G309" t="inlineStr">
        <is>
          <t>ALINGSÅS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46312</v>
      </c>
      <c r="F310" t="inlineStr">
        <is>
          <t>VÄSTRA GÖTALANDS LÄN</t>
        </is>
      </c>
      <c r="G310" t="inlineStr">
        <is>
          <t>ALINGSÅS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46312</v>
      </c>
      <c r="F311" t="inlineStr">
        <is>
          <t>VÄSTRA GÖTALANDS LÄN</t>
        </is>
      </c>
      <c r="G311" t="inlineStr">
        <is>
          <t>ALINGSÅS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19553-2024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45429</v>
      </c>
      <c r="E312" s="1" t="n">
        <v>46312</v>
      </c>
      <c r="F312" t="inlineStr">
        <is>
          <t>VÄSTRA GÖTALANDS LÄN</t>
        </is>
      </c>
      <c r="G312" t="inlineStr">
        <is>
          <t>ALINGSÅS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45850</v>
      </c>
      <c r="E313" s="1" t="n">
        <v>46312</v>
      </c>
      <c r="F313" t="inlineStr">
        <is>
          <t>VÄSTRA GÖTALANDS LÄN</t>
        </is>
      </c>
      <c r="G313" t="inlineStr">
        <is>
          <t>ALINGSÅS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46312</v>
      </c>
      <c r="F314" t="inlineStr">
        <is>
          <t>VÄSTRA GÖTALANDS LÄN</t>
        </is>
      </c>
      <c r="G314" t="inlineStr">
        <is>
          <t>ALINGSÅS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45850</v>
      </c>
      <c r="E315" s="1" t="n">
        <v>46312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46312</v>
      </c>
      <c r="F316" t="inlineStr">
        <is>
          <t>VÄSTRA GÖTALANDS LÄN</t>
        </is>
      </c>
      <c r="G316" t="inlineStr">
        <is>
          <t>ALINGSÅS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46312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46312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46312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46312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46312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46312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46312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46312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46312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46312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2026-10-17T02:05:53Z</dcterms:created>
  <dcterms:modified xmlns:dcterms="http://purl.org/dc/terms/" xmlns:xsi="http://www.w3.org/2001/XMLSchema-instance" xsi:type="dcterms:W3CDTF">2026-10-17T02:05:53Z</dcterms:modified>
</cp:coreProperties>
</file>