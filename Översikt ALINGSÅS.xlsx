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46251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45630</v>
      </c>
      <c r="E13" s="1" t="n">
        <v>46251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Kråka
Kungsfågel
Svartvit flugsnappare</t>
        </is>
      </c>
      <c r="W13">
        <f>HYPERLINK("https://klasma.github.io/Logging_1489/artfynd/A 57757-2024 artfynd.xlsx", "A 57757-2024")</f>
        <v/>
      </c>
      <c r="X13">
        <f>HYPERLINK("https://klasma.github.io/Logging_1489/kartor/A 57757-2024 karta.png", "A 57757-2024")</f>
        <v/>
      </c>
      <c r="Y13">
        <f>HYPERLINK("https://klasma.github.io/Logging_1489/kartor_geotiff/A 57757-2024 georefererad karta.tif", "A 57757-2024")</f>
        <v/>
      </c>
      <c r="AA13">
        <f>HYPERLINK("https://klasma.github.io/Logging_1489/klagomål/A 57757-2024 FSC-klagomål.docx", "A 57757-2024")</f>
        <v/>
      </c>
      <c r="AB13">
        <f>HYPERLINK("https://klasma.github.io/Logging_1489/klagomålsmail/A 57757-2024 FSC-klagomål mail.docx", "A 57757-2024")</f>
        <v/>
      </c>
      <c r="AC13">
        <f>HYPERLINK("https://klasma.github.io/Logging_1489/tillsyn/A 57757-2024 tillsynsbegäran.docx", "A 57757-2024")</f>
        <v/>
      </c>
      <c r="AD13">
        <f>HYPERLINK("https://klasma.github.io/Logging_1489/tillsynsmail/A 57757-2024 tillsynsbegäran mail.docx", "A 57757-2024")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46251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46251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46251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46251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46251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46251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46251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46251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46251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46251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46251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46251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15986-2026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46251</v>
      </c>
      <c r="F27" t="inlineStr">
        <is>
          <t>VÄSTRA GÖTALANDS LÄN</t>
        </is>
      </c>
      <c r="G27" t="inlineStr">
        <is>
          <t>ALINGSÅS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HYPERLINK("https://klasma.github.io/Logging_1489/artfynd/A 15986-2026 artfynd.xlsx", "A 15986-2026")</f>
        <v/>
      </c>
      <c r="X27">
        <f>HYPERLINK("https://klasma.github.io/Logging_1489/kartor/A 15986-2026 karta.png", "A 15986-2026")</f>
        <v/>
      </c>
      <c r="Y27">
        <f>HYPERLINK("https://klasma.github.io/Logging_1489/kartor_geotiff/A 15986-2026 georefererad karta.tif", "A 15986-2026")</f>
        <v/>
      </c>
      <c r="AA27">
        <f>HYPERLINK("https://klasma.github.io/Logging_1489/klagomål/A 15986-2026 FSC-klagomål.docx", "A 15986-2026")</f>
        <v/>
      </c>
      <c r="AB27">
        <f>HYPERLINK("https://klasma.github.io/Logging_1489/klagomålsmail/A 15986-2026 FSC-klagomål mail.docx", "A 15986-2026")</f>
        <v/>
      </c>
      <c r="AC27">
        <f>HYPERLINK("https://klasma.github.io/Logging_1489/tillsyn/A 15986-2026 tillsynsbegäran.docx", "A 15986-2026")</f>
        <v/>
      </c>
      <c r="AD27">
        <f>HYPERLINK("https://klasma.github.io/Logging_1489/tillsynsmail/A 15986-2026 tillsynsbegäran mail.docx", "A 15986-2026")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46251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46251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46251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46251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46251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46251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10542-2024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45366</v>
      </c>
      <c r="E34" s="1" t="n">
        <v>46251</v>
      </c>
      <c r="F34" t="inlineStr">
        <is>
          <t>VÄSTRA GÖTALANDS LÄN</t>
        </is>
      </c>
      <c r="G34" t="inlineStr">
        <is>
          <t>ALINGSÅS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HYPERLINK("https://klasma.github.io/Logging_1489/artfynd/A 10542-2024 artfynd.xlsx", "A 10542-2024")</f>
        <v/>
      </c>
      <c r="X34">
        <f>HYPERLINK("https://klasma.github.io/Logging_1489/kartor/A 10542-2024 karta.png", "A 10542-2024")</f>
        <v/>
      </c>
      <c r="Y34">
        <f>HYPERLINK("https://klasma.github.io/Logging_1489/kartor_geotiff/A 10542-2024 georefererad karta.tif", "A 10542-2024")</f>
        <v/>
      </c>
      <c r="AA34">
        <f>HYPERLINK("https://klasma.github.io/Logging_1489/klagomål/A 10542-2024 FSC-klagomål.docx", "A 10542-2024")</f>
        <v/>
      </c>
      <c r="AB34">
        <f>HYPERLINK("https://klasma.github.io/Logging_1489/klagomålsmail/A 10542-2024 FSC-klagomål mail.docx", "A 10542-2024")</f>
        <v/>
      </c>
      <c r="AC34">
        <f>HYPERLINK("https://klasma.github.io/Logging_1489/tillsyn/A 10542-2024 tillsynsbegäran.docx", "A 10542-2024")</f>
        <v/>
      </c>
      <c r="AD34">
        <f>HYPERLINK("https://klasma.github.io/Logging_1489/tillsynsmail/A 10542-2024 tillsynsbegäran mail.docx", "A 10542-2024")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46251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46251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46251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46251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46251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46251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46251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46251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46251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46251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46251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46251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46251</v>
      </c>
      <c r="F47" t="inlineStr">
        <is>
          <t>VÄSTRA GÖTALANDS LÄN</t>
        </is>
      </c>
      <c r="G47" t="inlineStr">
        <is>
          <t>ALINGSÅS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46251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46251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46251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46251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46251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46251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46251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46251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46251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46251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46251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46251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46251</v>
      </c>
      <c r="F61" t="inlineStr">
        <is>
          <t>VÄSTRA GÖTALANDS LÄN</t>
        </is>
      </c>
      <c r="G61" t="inlineStr">
        <is>
          <t>ALINGSÅS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46251</v>
      </c>
      <c r="F62" t="inlineStr">
        <is>
          <t>VÄSTRA GÖTALANDS LÄN</t>
        </is>
      </c>
      <c r="G62" t="inlineStr">
        <is>
          <t>ALINGSÅS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46251</v>
      </c>
      <c r="F63" t="inlineStr">
        <is>
          <t>VÄSTRA GÖTALANDS LÄN</t>
        </is>
      </c>
      <c r="G63" t="inlineStr">
        <is>
          <t>ALINGSÅS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46251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46251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46251</v>
      </c>
      <c r="F66" t="inlineStr">
        <is>
          <t>VÄSTRA GÖTALANDS LÄN</t>
        </is>
      </c>
      <c r="G66" t="inlineStr">
        <is>
          <t>ALINGSÅS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46251</v>
      </c>
      <c r="F67" t="inlineStr">
        <is>
          <t>VÄSTRA GÖTALANDS LÄN</t>
        </is>
      </c>
      <c r="G67" t="inlineStr">
        <is>
          <t>ALINGSÅS</t>
        </is>
      </c>
      <c r="I67" t="n">
        <v>10.4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46251</v>
      </c>
      <c r="F68" t="inlineStr">
        <is>
          <t>VÄSTRA GÖTALANDS LÄN</t>
        </is>
      </c>
      <c r="G68" t="inlineStr">
        <is>
          <t>ALINGSÅS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46251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46251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46251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46251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45380</v>
      </c>
      <c r="E73" s="1" t="n">
        <v>46251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46251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46251</v>
      </c>
      <c r="F75" t="inlineStr">
        <is>
          <t>VÄSTRA GÖTALANDS LÄN</t>
        </is>
      </c>
      <c r="G75" t="inlineStr">
        <is>
          <t>ALINGSÅS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46251</v>
      </c>
      <c r="F76" t="inlineStr">
        <is>
          <t>VÄSTRA GÖTALANDS LÄN</t>
        </is>
      </c>
      <c r="G76" t="inlineStr">
        <is>
          <t>ALINGSÅS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46251</v>
      </c>
      <c r="F77" t="inlineStr">
        <is>
          <t>VÄSTRA GÖTALANDS LÄN</t>
        </is>
      </c>
      <c r="G77" t="inlineStr">
        <is>
          <t>ALINGSÅS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44726</v>
      </c>
      <c r="E78" s="1" t="n">
        <v>46251</v>
      </c>
      <c r="F78" t="inlineStr">
        <is>
          <t>VÄSTRA GÖTALANDS LÄN</t>
        </is>
      </c>
      <c r="G78" t="inlineStr">
        <is>
          <t>ALINGSÅS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46251</v>
      </c>
      <c r="F79" t="inlineStr">
        <is>
          <t>VÄSTRA GÖTALANDS LÄN</t>
        </is>
      </c>
      <c r="G79" t="inlineStr">
        <is>
          <t>ALINGSÅS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44964</v>
      </c>
      <c r="E80" s="1" t="n">
        <v>46251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46251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46251</v>
      </c>
      <c r="F82" t="inlineStr">
        <is>
          <t>VÄSTRA GÖTALANDS LÄN</t>
        </is>
      </c>
      <c r="G82" t="inlineStr">
        <is>
          <t>ALINGSÅS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46251</v>
      </c>
      <c r="F83" t="inlineStr">
        <is>
          <t>VÄSTRA GÖTALANDS LÄN</t>
        </is>
      </c>
      <c r="G83" t="inlineStr">
        <is>
          <t>ALINGSÅS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46251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46251</v>
      </c>
      <c r="F85" t="inlineStr">
        <is>
          <t>VÄSTRA GÖTALANDS LÄN</t>
        </is>
      </c>
      <c r="G85" t="inlineStr">
        <is>
          <t>ALINGSÅS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46251</v>
      </c>
      <c r="F86" t="inlineStr">
        <is>
          <t>VÄSTRA GÖTALANDS LÄN</t>
        </is>
      </c>
      <c r="G86" t="inlineStr">
        <is>
          <t>ALINGSÅS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46251</v>
      </c>
      <c r="F87" t="inlineStr">
        <is>
          <t>VÄSTRA GÖTALANDS LÄN</t>
        </is>
      </c>
      <c r="G87" t="inlineStr">
        <is>
          <t>ALINGSÅS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45465</v>
      </c>
      <c r="E88" s="1" t="n">
        <v>46251</v>
      </c>
      <c r="F88" t="inlineStr">
        <is>
          <t>VÄSTRA GÖTALANDS LÄN</t>
        </is>
      </c>
      <c r="G88" t="inlineStr">
        <is>
          <t>ALINGSÅS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46251</v>
      </c>
      <c r="F89" t="inlineStr">
        <is>
          <t>VÄSTRA GÖTALANDS LÄN</t>
        </is>
      </c>
      <c r="G89" t="inlineStr">
        <is>
          <t>ALINGSÅS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46251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46251</v>
      </c>
      <c r="F91" t="inlineStr">
        <is>
          <t>VÄSTRA GÖTALANDS LÄN</t>
        </is>
      </c>
      <c r="G91" t="inlineStr">
        <is>
          <t>ALINGSÅS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46251</v>
      </c>
      <c r="F92" t="inlineStr">
        <is>
          <t>VÄSTRA GÖTALANDS LÄN</t>
        </is>
      </c>
      <c r="G92" t="inlineStr">
        <is>
          <t>ALINGSÅS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46251</v>
      </c>
      <c r="F93" t="inlineStr">
        <is>
          <t>VÄSTRA GÖTALANDS LÄN</t>
        </is>
      </c>
      <c r="G93" t="inlineStr">
        <is>
          <t>ALINGSÅS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46251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46251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46251</v>
      </c>
      <c r="F96" t="inlineStr">
        <is>
          <t>VÄSTRA GÖTALANDS LÄN</t>
        </is>
      </c>
      <c r="G96" t="inlineStr">
        <is>
          <t>ALINGSÅS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46251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42711-2025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45908</v>
      </c>
      <c r="E98" s="1" t="n">
        <v>46251</v>
      </c>
      <c r="F98" t="inlineStr">
        <is>
          <t>VÄSTRA GÖTALANDS LÄN</t>
        </is>
      </c>
      <c r="G98" t="inlineStr">
        <is>
          <t>ALINGSÅS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42710-2025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45908</v>
      </c>
      <c r="E99" s="1" t="n">
        <v>46251</v>
      </c>
      <c r="F99" t="inlineStr">
        <is>
          <t>VÄSTRA GÖTALANDS LÄN</t>
        </is>
      </c>
      <c r="G99" t="inlineStr">
        <is>
          <t>ALINGSÅS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46251</v>
      </c>
      <c r="F100" t="inlineStr">
        <is>
          <t>VÄSTRA GÖTALANDS LÄN</t>
        </is>
      </c>
      <c r="G100" t="inlineStr">
        <is>
          <t>ALINGSÅS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46251</v>
      </c>
      <c r="F101" t="inlineStr">
        <is>
          <t>VÄSTRA GÖTALANDS LÄN</t>
        </is>
      </c>
      <c r="G101" t="inlineStr">
        <is>
          <t>ALINGSÅS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46251</v>
      </c>
      <c r="F102" t="inlineStr">
        <is>
          <t>VÄSTRA GÖTALANDS LÄN</t>
        </is>
      </c>
      <c r="G102" t="inlineStr">
        <is>
          <t>ALINGSÅS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45576</v>
      </c>
      <c r="E103" s="1" t="n">
        <v>46251</v>
      </c>
      <c r="F103" t="inlineStr">
        <is>
          <t>VÄSTRA GÖTALANDS LÄN</t>
        </is>
      </c>
      <c r="G103" t="inlineStr">
        <is>
          <t>ALINGSÅS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46251</v>
      </c>
      <c r="F104" t="inlineStr">
        <is>
          <t>VÄSTRA GÖTALANDS LÄN</t>
        </is>
      </c>
      <c r="G104" t="inlineStr">
        <is>
          <t>ALINGSÅS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46251</v>
      </c>
      <c r="F105" t="inlineStr">
        <is>
          <t>VÄSTRA GÖTALANDS LÄN</t>
        </is>
      </c>
      <c r="G105" t="inlineStr">
        <is>
          <t>ALINGSÅS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46251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46251</v>
      </c>
      <c r="F107" t="inlineStr">
        <is>
          <t>VÄSTRA GÖTALANDS LÄN</t>
        </is>
      </c>
      <c r="G107" t="inlineStr">
        <is>
          <t>ALINGSÅS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46251</v>
      </c>
      <c r="F108" t="inlineStr">
        <is>
          <t>VÄSTRA GÖTALANDS LÄN</t>
        </is>
      </c>
      <c r="G108" t="inlineStr">
        <is>
          <t>ALINGSÅS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46251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46251</v>
      </c>
      <c r="F110" t="inlineStr">
        <is>
          <t>VÄSTRA GÖTALANDS LÄN</t>
        </is>
      </c>
      <c r="G110" t="inlineStr">
        <is>
          <t>ALINGSÅS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64070-2023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45279</v>
      </c>
      <c r="E111" s="1" t="n">
        <v>46251</v>
      </c>
      <c r="F111" t="inlineStr">
        <is>
          <t>VÄSTRA GÖTALANDS LÄN</t>
        </is>
      </c>
      <c r="G111" t="inlineStr">
        <is>
          <t>ALINGSÅS</t>
        </is>
      </c>
      <c r="H111" t="inlineStr">
        <is>
          <t>Kommuner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45465</v>
      </c>
      <c r="E112" s="1" t="n">
        <v>46251</v>
      </c>
      <c r="F112" t="inlineStr">
        <is>
          <t>VÄSTRA GÖTALANDS LÄN</t>
        </is>
      </c>
      <c r="G112" t="inlineStr">
        <is>
          <t>ALINGSÅS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46251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46251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45271</v>
      </c>
      <c r="E115" s="1" t="n">
        <v>46251</v>
      </c>
      <c r="F115" t="inlineStr">
        <is>
          <t>VÄSTRA GÖTALANDS LÄN</t>
        </is>
      </c>
      <c r="G115" t="inlineStr">
        <is>
          <t>ALINGSÅS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46251</v>
      </c>
      <c r="F116" t="inlineStr">
        <is>
          <t>VÄSTRA GÖTALANDS LÄN</t>
        </is>
      </c>
      <c r="G116" t="inlineStr">
        <is>
          <t>ALINGSÅS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64194-2023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45279</v>
      </c>
      <c r="E117" s="1" t="n">
        <v>46251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44672</v>
      </c>
      <c r="E118" s="1" t="n">
        <v>46251</v>
      </c>
      <c r="F118" t="inlineStr">
        <is>
          <t>VÄSTRA GÖTALANDS LÄN</t>
        </is>
      </c>
      <c r="G118" t="inlineStr">
        <is>
          <t>ALINGSÅS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46251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45310</v>
      </c>
      <c r="E120" s="1" t="n">
        <v>46251</v>
      </c>
      <c r="F120" t="inlineStr">
        <is>
          <t>VÄSTRA GÖTALANDS LÄN</t>
        </is>
      </c>
      <c r="G120" t="inlineStr">
        <is>
          <t>ALINGSÅS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46251</v>
      </c>
      <c r="F121" t="inlineStr">
        <is>
          <t>VÄSTRA GÖTALANDS LÄN</t>
        </is>
      </c>
      <c r="G121" t="inlineStr">
        <is>
          <t>ALINGSÅS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46251</v>
      </c>
      <c r="F122" t="inlineStr">
        <is>
          <t>VÄSTRA GÖTALANDS LÄN</t>
        </is>
      </c>
      <c r="G122" t="inlineStr">
        <is>
          <t>ALINGSÅS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46251</v>
      </c>
      <c r="F123" t="inlineStr">
        <is>
          <t>VÄSTRA GÖTALANDS LÄN</t>
        </is>
      </c>
      <c r="G123" t="inlineStr">
        <is>
          <t>ALINGSÅS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44456</v>
      </c>
      <c r="E124" s="1" t="n">
        <v>46251</v>
      </c>
      <c r="F124" t="inlineStr">
        <is>
          <t>VÄSTRA GÖTALANDS LÄN</t>
        </is>
      </c>
      <c r="G124" t="inlineStr">
        <is>
          <t>ALINGSÅS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46251</v>
      </c>
      <c r="F125" t="inlineStr">
        <is>
          <t>VÄSTRA GÖTALANDS LÄN</t>
        </is>
      </c>
      <c r="G125" t="inlineStr">
        <is>
          <t>ALINGSÅS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46251</v>
      </c>
      <c r="F126" t="inlineStr">
        <is>
          <t>VÄSTRA GÖTALANDS LÄN</t>
        </is>
      </c>
      <c r="G126" t="inlineStr">
        <is>
          <t>ALINGSÅS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46251</v>
      </c>
      <c r="F127" t="inlineStr">
        <is>
          <t>VÄSTRA GÖTALANDS LÄN</t>
        </is>
      </c>
      <c r="G127" t="inlineStr">
        <is>
          <t>ALINGSÅS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46251</v>
      </c>
      <c r="F128" t="inlineStr">
        <is>
          <t>VÄSTRA GÖTALANDS LÄN</t>
        </is>
      </c>
      <c r="G128" t="inlineStr">
        <is>
          <t>ALINGSÅS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46251</v>
      </c>
      <c r="F129" t="inlineStr">
        <is>
          <t>VÄSTRA GÖTALANDS LÄN</t>
        </is>
      </c>
      <c r="G129" t="inlineStr">
        <is>
          <t>ALINGSÅS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46251</v>
      </c>
      <c r="F130" t="inlineStr">
        <is>
          <t>VÄSTRA GÖTALANDS LÄN</t>
        </is>
      </c>
      <c r="G130" t="inlineStr">
        <is>
          <t>ALINGSÅS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46251</v>
      </c>
      <c r="F131" t="inlineStr">
        <is>
          <t>VÄSTRA GÖTALANDS LÄN</t>
        </is>
      </c>
      <c r="G131" t="inlineStr">
        <is>
          <t>ALINGSÅS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46251</v>
      </c>
      <c r="F132" t="inlineStr">
        <is>
          <t>VÄSTRA GÖTALANDS LÄN</t>
        </is>
      </c>
      <c r="G132" t="inlineStr">
        <is>
          <t>ALINGSÅS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44821</v>
      </c>
      <c r="E133" s="1" t="n">
        <v>46251</v>
      </c>
      <c r="F133" t="inlineStr">
        <is>
          <t>VÄSTRA GÖTALANDS LÄN</t>
        </is>
      </c>
      <c r="G133" t="inlineStr">
        <is>
          <t>ALINGSÅS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46251</v>
      </c>
      <c r="F134" t="inlineStr">
        <is>
          <t>VÄSTRA GÖTALANDS LÄN</t>
        </is>
      </c>
      <c r="G134" t="inlineStr">
        <is>
          <t>ALINGSÅS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46251</v>
      </c>
      <c r="F135" t="inlineStr">
        <is>
          <t>VÄSTRA GÖTALANDS LÄN</t>
        </is>
      </c>
      <c r="G135" t="inlineStr">
        <is>
          <t>ALINGSÅS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46251</v>
      </c>
      <c r="F136" t="inlineStr">
        <is>
          <t>VÄSTRA GÖTALANDS LÄN</t>
        </is>
      </c>
      <c r="G136" t="inlineStr">
        <is>
          <t>ALINGSÅS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46251</v>
      </c>
      <c r="F137" t="inlineStr">
        <is>
          <t>VÄSTRA GÖTALANDS LÄN</t>
        </is>
      </c>
      <c r="G137" t="inlineStr">
        <is>
          <t>ALINGSÅS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45568</v>
      </c>
      <c r="E138" s="1" t="n">
        <v>46251</v>
      </c>
      <c r="F138" t="inlineStr">
        <is>
          <t>VÄSTRA GÖTALANDS LÄN</t>
        </is>
      </c>
      <c r="G138" t="inlineStr">
        <is>
          <t>ALINGSÅS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46251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46251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46251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46251</v>
      </c>
      <c r="F142" t="inlineStr">
        <is>
          <t>VÄSTRA GÖTALANDS LÄN</t>
        </is>
      </c>
      <c r="G142" t="inlineStr">
        <is>
          <t>ALINGSÅS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46251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46251</v>
      </c>
      <c r="F144" t="inlineStr">
        <is>
          <t>VÄSTRA GÖTALANDS LÄN</t>
        </is>
      </c>
      <c r="G144" t="inlineStr">
        <is>
          <t>ALINGSÅS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46251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46251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54073-2025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45964</v>
      </c>
      <c r="E147" s="1" t="n">
        <v>46251</v>
      </c>
      <c r="F147" t="inlineStr">
        <is>
          <t>VÄSTRA GÖTALANDS LÄN</t>
        </is>
      </c>
      <c r="G147" t="inlineStr">
        <is>
          <t>ALINGSÅS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45966</v>
      </c>
      <c r="E148" s="1" t="n">
        <v>46251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46251</v>
      </c>
      <c r="F149" t="inlineStr">
        <is>
          <t>VÄSTRA GÖTALANDS LÄN</t>
        </is>
      </c>
      <c r="G149" t="inlineStr">
        <is>
          <t>ALINGSÅS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46251</v>
      </c>
      <c r="F150" t="inlineStr">
        <is>
          <t>VÄSTRA GÖTALANDS LÄN</t>
        </is>
      </c>
      <c r="G150" t="inlineStr">
        <is>
          <t>ALINGSÅS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44637</v>
      </c>
      <c r="E151" s="1" t="n">
        <v>46251</v>
      </c>
      <c r="F151" t="inlineStr">
        <is>
          <t>VÄSTRA GÖTALANDS LÄN</t>
        </is>
      </c>
      <c r="G151" t="inlineStr">
        <is>
          <t>ALINGSÅS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46251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46251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46251</v>
      </c>
      <c r="F154" t="inlineStr">
        <is>
          <t>VÄSTRA GÖTALANDS LÄN</t>
        </is>
      </c>
      <c r="G154" t="inlineStr">
        <is>
          <t>ALINGSÅS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46251</v>
      </c>
      <c r="F155" t="inlineStr">
        <is>
          <t>VÄSTRA GÖTALANDS LÄN</t>
        </is>
      </c>
      <c r="G155" t="inlineStr">
        <is>
          <t>ALINGSÅS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46251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46251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56116-2025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45973</v>
      </c>
      <c r="E158" s="1" t="n">
        <v>46251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46251</v>
      </c>
      <c r="F159" t="inlineStr">
        <is>
          <t>VÄSTRA GÖTALANDS LÄN</t>
        </is>
      </c>
      <c r="G159" t="inlineStr">
        <is>
          <t>ALINGSÅS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46251</v>
      </c>
      <c r="F160" t="inlineStr">
        <is>
          <t>VÄSTRA GÖTALANDS LÄN</t>
        </is>
      </c>
      <c r="G160" t="inlineStr">
        <is>
          <t>ALINGSÅS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46251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46251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46251</v>
      </c>
      <c r="F163" t="inlineStr">
        <is>
          <t>VÄSTRA GÖTALANDS LÄN</t>
        </is>
      </c>
      <c r="G163" t="inlineStr">
        <is>
          <t>ALINGSÅS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46251</v>
      </c>
      <c r="F164" t="inlineStr">
        <is>
          <t>VÄSTRA GÖTALANDS LÄN</t>
        </is>
      </c>
      <c r="G164" t="inlineStr">
        <is>
          <t>ALINGSÅS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46251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22186-2025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45785</v>
      </c>
      <c r="E166" s="1" t="n">
        <v>46251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46251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46251</v>
      </c>
      <c r="F168" t="inlineStr">
        <is>
          <t>VÄSTRA GÖTALANDS LÄN</t>
        </is>
      </c>
      <c r="G168" t="inlineStr">
        <is>
          <t>ALINGSÅS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46251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46251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46251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46251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46251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46126</v>
      </c>
      <c r="E174" s="1" t="n">
        <v>46251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Kommuner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46251</v>
      </c>
      <c r="F175" t="inlineStr">
        <is>
          <t>VÄSTRA GÖTALANDS LÄN</t>
        </is>
      </c>
      <c r="G175" t="inlineStr">
        <is>
          <t>ALINGSÅS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46251</v>
      </c>
      <c r="F176" t="inlineStr">
        <is>
          <t>VÄSTRA GÖTALANDS LÄN</t>
        </is>
      </c>
      <c r="G176" t="inlineStr">
        <is>
          <t>ALINGSÅS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46251</v>
      </c>
      <c r="F177" t="inlineStr">
        <is>
          <t>VÄSTRA GÖTALANDS LÄN</t>
        </is>
      </c>
      <c r="G177" t="inlineStr">
        <is>
          <t>ALINGSÅS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46251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45011</v>
      </c>
      <c r="E179" s="1" t="n">
        <v>46251</v>
      </c>
      <c r="F179" t="inlineStr">
        <is>
          <t>VÄSTRA GÖTALANDS LÄN</t>
        </is>
      </c>
      <c r="G179" t="inlineStr">
        <is>
          <t>ALINGSÅS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44721</v>
      </c>
      <c r="E180" s="1" t="n">
        <v>46251</v>
      </c>
      <c r="F180" t="inlineStr">
        <is>
          <t>VÄSTRA GÖTALANDS LÄN</t>
        </is>
      </c>
      <c r="G180" t="inlineStr">
        <is>
          <t>ALINGSÅS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46251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46251</v>
      </c>
      <c r="F182" t="inlineStr">
        <is>
          <t>VÄSTRA GÖTALANDS LÄN</t>
        </is>
      </c>
      <c r="G182" t="inlineStr">
        <is>
          <t>ALINGSÅS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46131</v>
      </c>
      <c r="E183" s="1" t="n">
        <v>46251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46251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46251</v>
      </c>
      <c r="F185" t="inlineStr">
        <is>
          <t>VÄSTRA GÖTALANDS LÄN</t>
        </is>
      </c>
      <c r="G185" t="inlineStr">
        <is>
          <t>ALINGSÅS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32286-2024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45512</v>
      </c>
      <c r="E186" s="1" t="n">
        <v>46251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46251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44907</v>
      </c>
      <c r="E188" s="1" t="n">
        <v>46251</v>
      </c>
      <c r="F188" t="inlineStr">
        <is>
          <t>VÄSTRA GÖTALANDS LÄN</t>
        </is>
      </c>
      <c r="G188" t="inlineStr">
        <is>
          <t>ALINGSÅS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46251</v>
      </c>
      <c r="F189" t="inlineStr">
        <is>
          <t>VÄSTRA GÖTALANDS LÄN</t>
        </is>
      </c>
      <c r="G189" t="inlineStr">
        <is>
          <t>ALINGSÅS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46251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46251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46251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46251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46251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46251</v>
      </c>
      <c r="F195" t="inlineStr">
        <is>
          <t>VÄSTRA GÖTALANDS LÄN</t>
        </is>
      </c>
      <c r="G195" t="inlineStr">
        <is>
          <t>ALINGSÅS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46251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46251</v>
      </c>
      <c r="F197" t="inlineStr">
        <is>
          <t>VÄSTRA GÖTALANDS LÄN</t>
        </is>
      </c>
      <c r="G197" t="inlineStr">
        <is>
          <t>ALINGSÅS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46251</v>
      </c>
      <c r="F198" t="inlineStr">
        <is>
          <t>VÄSTRA GÖTALANDS LÄN</t>
        </is>
      </c>
      <c r="G198" t="inlineStr">
        <is>
          <t>ALINGSÅS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46251</v>
      </c>
      <c r="F199" t="inlineStr">
        <is>
          <t>VÄSTRA GÖTALANDS LÄN</t>
        </is>
      </c>
      <c r="G199" t="inlineStr">
        <is>
          <t>ALINGSÅS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46251</v>
      </c>
      <c r="F200" t="inlineStr">
        <is>
          <t>VÄSTRA GÖTALANDS LÄN</t>
        </is>
      </c>
      <c r="G200" t="inlineStr">
        <is>
          <t>ALINGSÅS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46251</v>
      </c>
      <c r="F201" t="inlineStr">
        <is>
          <t>VÄSTRA GÖTALANDS LÄN</t>
        </is>
      </c>
      <c r="G201" t="inlineStr">
        <is>
          <t>ALINGSÅS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46251</v>
      </c>
      <c r="F202" t="inlineStr">
        <is>
          <t>VÄSTRA GÖTALANDS LÄN</t>
        </is>
      </c>
      <c r="G202" t="inlineStr">
        <is>
          <t>ALINGSÅS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46251</v>
      </c>
      <c r="F203" t="inlineStr">
        <is>
          <t>VÄSTRA GÖTALANDS LÄN</t>
        </is>
      </c>
      <c r="G203" t="inlineStr">
        <is>
          <t>ALINGSÅS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46251</v>
      </c>
      <c r="F204" t="inlineStr">
        <is>
          <t>VÄSTRA GÖTALANDS LÄN</t>
        </is>
      </c>
      <c r="G204" t="inlineStr">
        <is>
          <t>ALINGSÅS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46251</v>
      </c>
      <c r="F205" t="inlineStr">
        <is>
          <t>VÄSTRA GÖTALANDS LÄN</t>
        </is>
      </c>
      <c r="G205" t="inlineStr">
        <is>
          <t>ALINGSÅS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46251</v>
      </c>
      <c r="F206" t="inlineStr">
        <is>
          <t>VÄSTRA GÖTALANDS LÄN</t>
        </is>
      </c>
      <c r="G206" t="inlineStr">
        <is>
          <t>ALINGSÅS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46251</v>
      </c>
      <c r="F207" t="inlineStr">
        <is>
          <t>VÄSTRA GÖTALANDS LÄN</t>
        </is>
      </c>
      <c r="G207" t="inlineStr">
        <is>
          <t>ALINGSÅS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46251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46251</v>
      </c>
      <c r="F209" t="inlineStr">
        <is>
          <t>VÄSTRA GÖTALANDS LÄN</t>
        </is>
      </c>
      <c r="G209" t="inlineStr">
        <is>
          <t>ALINGSÅS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46251</v>
      </c>
      <c r="F210" t="inlineStr">
        <is>
          <t>VÄSTRA GÖTALANDS LÄN</t>
        </is>
      </c>
      <c r="G210" t="inlineStr">
        <is>
          <t>ALINGSÅS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46251</v>
      </c>
      <c r="F211" t="inlineStr">
        <is>
          <t>VÄSTRA GÖTALANDS LÄN</t>
        </is>
      </c>
      <c r="G211" t="inlineStr">
        <is>
          <t>ALINGSÅS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46251</v>
      </c>
      <c r="F212" t="inlineStr">
        <is>
          <t>VÄSTRA GÖTALANDS LÄN</t>
        </is>
      </c>
      <c r="G212" t="inlineStr">
        <is>
          <t>ALINGSÅS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46251</v>
      </c>
      <c r="F213" t="inlineStr">
        <is>
          <t>VÄSTRA GÖTALANDS LÄN</t>
        </is>
      </c>
      <c r="G213" t="inlineStr">
        <is>
          <t>ALINGSÅS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46251</v>
      </c>
      <c r="F214" t="inlineStr">
        <is>
          <t>VÄSTRA GÖTALANDS LÄN</t>
        </is>
      </c>
      <c r="G214" t="inlineStr">
        <is>
          <t>ALINGSÅS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46251</v>
      </c>
      <c r="F215" t="inlineStr">
        <is>
          <t>VÄSTRA GÖTALANDS LÄN</t>
        </is>
      </c>
      <c r="G215" t="inlineStr">
        <is>
          <t>ALINGSÅS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45681</v>
      </c>
      <c r="E216" s="1" t="n">
        <v>46251</v>
      </c>
      <c r="F216" t="inlineStr">
        <is>
          <t>VÄSTRA GÖTALANDS LÄN</t>
        </is>
      </c>
      <c r="G216" t="inlineStr">
        <is>
          <t>ALINGSÅS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46251</v>
      </c>
      <c r="F217" t="inlineStr">
        <is>
          <t>VÄSTRA GÖTALANDS LÄN</t>
        </is>
      </c>
      <c r="G217" t="inlineStr">
        <is>
          <t>ALINGSÅS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45608</v>
      </c>
      <c r="E218" s="1" t="n">
        <v>46251</v>
      </c>
      <c r="F218" t="inlineStr">
        <is>
          <t>VÄSTRA GÖTALANDS LÄN</t>
        </is>
      </c>
      <c r="G218" t="inlineStr">
        <is>
          <t>ALINGSÅS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46251</v>
      </c>
      <c r="F219" t="inlineStr">
        <is>
          <t>VÄSTRA GÖTALANDS LÄN</t>
        </is>
      </c>
      <c r="G219" t="inlineStr">
        <is>
          <t>ALINGSÅS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45772</v>
      </c>
      <c r="E220" s="1" t="n">
        <v>46251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46251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45177</v>
      </c>
      <c r="E222" s="1" t="n">
        <v>46251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46251</v>
      </c>
      <c r="F223" t="inlineStr">
        <is>
          <t>VÄSTRA GÖTALANDS LÄN</t>
        </is>
      </c>
      <c r="G223" t="inlineStr">
        <is>
          <t>ALINGSÅS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46251</v>
      </c>
      <c r="F224" t="inlineStr">
        <is>
          <t>VÄSTRA GÖTALANDS LÄN</t>
        </is>
      </c>
      <c r="G224" t="inlineStr">
        <is>
          <t>ALINGSÅS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46251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46251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46251</v>
      </c>
      <c r="F227" t="inlineStr">
        <is>
          <t>VÄSTRA GÖTALANDS LÄN</t>
        </is>
      </c>
      <c r="G227" t="inlineStr">
        <is>
          <t>ALINGSÅS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45465</v>
      </c>
      <c r="E228" s="1" t="n">
        <v>46251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46251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46251</v>
      </c>
      <c r="F230" t="inlineStr">
        <is>
          <t>VÄSTRA GÖTALANDS LÄN</t>
        </is>
      </c>
      <c r="G230" t="inlineStr">
        <is>
          <t>ALINGSÅS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46251</v>
      </c>
      <c r="F231" t="inlineStr">
        <is>
          <t>VÄSTRA GÖTALANDS LÄN</t>
        </is>
      </c>
      <c r="G231" t="inlineStr">
        <is>
          <t>ALINGSÅS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46251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46251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45391</v>
      </c>
      <c r="E234" s="1" t="n">
        <v>46251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46251</v>
      </c>
      <c r="F235" t="inlineStr">
        <is>
          <t>VÄSTRA GÖTALANDS LÄN</t>
        </is>
      </c>
      <c r="G235" t="inlineStr">
        <is>
          <t>ALINGSÅS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46251</v>
      </c>
      <c r="F236" t="inlineStr">
        <is>
          <t>VÄSTRA GÖTALANDS LÄN</t>
        </is>
      </c>
      <c r="G236" t="inlineStr">
        <is>
          <t>ALINGSÅS</t>
        </is>
      </c>
      <c r="H236" t="inlineStr">
        <is>
          <t>Kyrkan</t>
        </is>
      </c>
      <c r="I236" t="n">
        <v>9.199999999999999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46251</v>
      </c>
      <c r="F237" t="inlineStr">
        <is>
          <t>VÄSTRA GÖTALANDS LÄN</t>
        </is>
      </c>
      <c r="G237" t="inlineStr">
        <is>
          <t>ALINGSÅS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46251</v>
      </c>
      <c r="F238" t="inlineStr">
        <is>
          <t>VÄSTRA GÖTALANDS LÄN</t>
        </is>
      </c>
      <c r="G238" t="inlineStr">
        <is>
          <t>ALINGSÅS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46251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46251</v>
      </c>
      <c r="F240" t="inlineStr">
        <is>
          <t>VÄSTRA GÖTALANDS LÄN</t>
        </is>
      </c>
      <c r="G240" t="inlineStr">
        <is>
          <t>ALINGSÅS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46251</v>
      </c>
      <c r="F241" t="inlineStr">
        <is>
          <t>VÄSTRA GÖTALANDS LÄN</t>
        </is>
      </c>
      <c r="G241" t="inlineStr">
        <is>
          <t>ALINGSÅS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46251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46251</v>
      </c>
      <c r="F243" t="inlineStr">
        <is>
          <t>VÄSTRA GÖTALANDS LÄN</t>
        </is>
      </c>
      <c r="G243" t="inlineStr">
        <is>
          <t>ALINGSÅS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45257</v>
      </c>
      <c r="E244" s="1" t="n">
        <v>46251</v>
      </c>
      <c r="F244" t="inlineStr">
        <is>
          <t>VÄSTRA GÖTALANDS LÄN</t>
        </is>
      </c>
      <c r="G244" t="inlineStr">
        <is>
          <t>ALINGSÅS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46251</v>
      </c>
      <c r="F245" t="inlineStr">
        <is>
          <t>VÄSTRA GÖTALANDS LÄN</t>
        </is>
      </c>
      <c r="G245" t="inlineStr">
        <is>
          <t>ALINGSÅS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45335</v>
      </c>
      <c r="E246" s="1" t="n">
        <v>46251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46251</v>
      </c>
      <c r="F247" t="inlineStr">
        <is>
          <t>VÄSTRA GÖTALANDS LÄN</t>
        </is>
      </c>
      <c r="G247" t="inlineStr">
        <is>
          <t>ALINGSÅS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46251</v>
      </c>
      <c r="F248" t="inlineStr">
        <is>
          <t>VÄSTRA GÖTALANDS LÄN</t>
        </is>
      </c>
      <c r="G248" t="inlineStr">
        <is>
          <t>ALINGSÅS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46251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44488</v>
      </c>
      <c r="E250" s="1" t="n">
        <v>46251</v>
      </c>
      <c r="F250" t="inlineStr">
        <is>
          <t>VÄSTRA GÖTALANDS LÄN</t>
        </is>
      </c>
      <c r="G250" t="inlineStr">
        <is>
          <t>ALINGSÅS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11539-2022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44631</v>
      </c>
      <c r="E251" s="1" t="n">
        <v>46251</v>
      </c>
      <c r="F251" t="inlineStr">
        <is>
          <t>VÄSTRA GÖTALANDS LÄN</t>
        </is>
      </c>
      <c r="G251" t="inlineStr">
        <is>
          <t>ALINGSÅS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46251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46251</v>
      </c>
      <c r="F253" t="inlineStr">
        <is>
          <t>VÄSTRA GÖTALANDS LÄN</t>
        </is>
      </c>
      <c r="G253" t="inlineStr">
        <is>
          <t>ALINGSÅS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46251</v>
      </c>
      <c r="F254" t="inlineStr">
        <is>
          <t>VÄSTRA GÖTALANDS LÄN</t>
        </is>
      </c>
      <c r="G254" t="inlineStr">
        <is>
          <t>ALINGSÅS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46251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46251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46251</v>
      </c>
      <c r="F257" t="inlineStr">
        <is>
          <t>VÄSTRA GÖTALANDS LÄN</t>
        </is>
      </c>
      <c r="G257" t="inlineStr">
        <is>
          <t>ALINGSÅS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46251</v>
      </c>
      <c r="F258" t="inlineStr">
        <is>
          <t>VÄSTRA GÖTALANDS LÄN</t>
        </is>
      </c>
      <c r="G258" t="inlineStr">
        <is>
          <t>ALINGSÅS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46251</v>
      </c>
      <c r="F259" t="inlineStr">
        <is>
          <t>VÄSTRA GÖTALANDS LÄN</t>
        </is>
      </c>
      <c r="G259" t="inlineStr">
        <is>
          <t>ALINGSÅS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46251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46251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45510</v>
      </c>
      <c r="E262" s="1" t="n">
        <v>46251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46251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46251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46251</v>
      </c>
      <c r="F265" t="inlineStr">
        <is>
          <t>VÄSTRA GÖTALANDS LÄN</t>
        </is>
      </c>
      <c r="G265" t="inlineStr">
        <is>
          <t>ALINGSÅS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44596</v>
      </c>
      <c r="E266" s="1" t="n">
        <v>46251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46251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46251</v>
      </c>
      <c r="F268" t="inlineStr">
        <is>
          <t>VÄSTRA GÖTALANDS LÄN</t>
        </is>
      </c>
      <c r="G268" t="inlineStr">
        <is>
          <t>ALINGSÅS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46251</v>
      </c>
      <c r="F269" t="inlineStr">
        <is>
          <t>VÄSTRA GÖTALANDS LÄN</t>
        </is>
      </c>
      <c r="G269" t="inlineStr">
        <is>
          <t>ALINGSÅS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25343-2026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46176</v>
      </c>
      <c r="E270" s="1" t="n">
        <v>46251</v>
      </c>
      <c r="F270" t="inlineStr">
        <is>
          <t>VÄSTRA GÖTALANDS LÄN</t>
        </is>
      </c>
      <c r="G270" t="inlineStr">
        <is>
          <t>ALINGSÅS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44582</v>
      </c>
      <c r="E271" s="1" t="n">
        <v>46251</v>
      </c>
      <c r="F271" t="inlineStr">
        <is>
          <t>VÄSTRA GÖTALANDS LÄN</t>
        </is>
      </c>
      <c r="G271" t="inlineStr">
        <is>
          <t>ALINGSÅS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46251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46251</v>
      </c>
      <c r="F273" t="inlineStr">
        <is>
          <t>VÄSTRA GÖTALANDS LÄN</t>
        </is>
      </c>
      <c r="G273" t="inlineStr">
        <is>
          <t>ALINGSÅS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46251</v>
      </c>
      <c r="F274" t="inlineStr">
        <is>
          <t>VÄSTRA GÖTALANDS LÄN</t>
        </is>
      </c>
      <c r="G274" t="inlineStr">
        <is>
          <t>ALINGSÅS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46251</v>
      </c>
      <c r="F275" t="inlineStr">
        <is>
          <t>VÄSTRA GÖTALANDS LÄN</t>
        </is>
      </c>
      <c r="G275" t="inlineStr">
        <is>
          <t>ALINGSÅS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46251</v>
      </c>
      <c r="F276" t="inlineStr">
        <is>
          <t>VÄSTRA GÖTALANDS LÄN</t>
        </is>
      </c>
      <c r="G276" t="inlineStr">
        <is>
          <t>ALINGSÅS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46251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46251</v>
      </c>
      <c r="F278" t="inlineStr">
        <is>
          <t>VÄSTRA GÖTALANDS LÄN</t>
        </is>
      </c>
      <c r="G278" t="inlineStr">
        <is>
          <t>ALINGSÅS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46251</v>
      </c>
      <c r="F279" t="inlineStr">
        <is>
          <t>VÄSTRA GÖTALANDS LÄN</t>
        </is>
      </c>
      <c r="G279" t="inlineStr">
        <is>
          <t>ALINGSÅS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54579-2024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45617</v>
      </c>
      <c r="E280" s="1" t="n">
        <v>46251</v>
      </c>
      <c r="F280" t="inlineStr">
        <is>
          <t>VÄSTRA GÖTALANDS LÄN</t>
        </is>
      </c>
      <c r="G280" t="inlineStr">
        <is>
          <t>ALINGSÅS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46251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46251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46251</v>
      </c>
      <c r="F283" t="inlineStr">
        <is>
          <t>VÄSTRA GÖTALANDS LÄN</t>
        </is>
      </c>
      <c r="G283" t="inlineStr">
        <is>
          <t>ALINGSÅS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46251</v>
      </c>
      <c r="F284" t="inlineStr">
        <is>
          <t>VÄSTRA GÖTALANDS LÄN</t>
        </is>
      </c>
      <c r="G284" t="inlineStr">
        <is>
          <t>ALINGSÅS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45173</v>
      </c>
      <c r="E285" s="1" t="n">
        <v>46251</v>
      </c>
      <c r="F285" t="inlineStr">
        <is>
          <t>VÄSTRA GÖTALANDS LÄN</t>
        </is>
      </c>
      <c r="G285" t="inlineStr">
        <is>
          <t>ALINGSÅS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46251</v>
      </c>
      <c r="F286" t="inlineStr">
        <is>
          <t>VÄSTRA GÖTALANDS LÄN</t>
        </is>
      </c>
      <c r="G286" t="inlineStr">
        <is>
          <t>ALINGSÅS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46251</v>
      </c>
      <c r="F287" t="inlineStr">
        <is>
          <t>VÄSTRA GÖTALANDS LÄN</t>
        </is>
      </c>
      <c r="G287" t="inlineStr">
        <is>
          <t>ALINGSÅS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46251</v>
      </c>
      <c r="F288" t="inlineStr">
        <is>
          <t>VÄSTRA GÖTALANDS LÄN</t>
        </is>
      </c>
      <c r="G288" t="inlineStr">
        <is>
          <t>ALINGSÅS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46251</v>
      </c>
      <c r="F289" t="inlineStr">
        <is>
          <t>VÄSTRA GÖTALANDS LÄN</t>
        </is>
      </c>
      <c r="G289" t="inlineStr">
        <is>
          <t>ALINGSÅS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45721</v>
      </c>
      <c r="E290" s="1" t="n">
        <v>46251</v>
      </c>
      <c r="F290" t="inlineStr">
        <is>
          <t>VÄSTRA GÖTALANDS LÄN</t>
        </is>
      </c>
      <c r="G290" t="inlineStr">
        <is>
          <t>ALINGSÅS</t>
        </is>
      </c>
      <c r="H290" t="inlineStr">
        <is>
          <t>Kyrkan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46251</v>
      </c>
      <c r="F291" t="inlineStr">
        <is>
          <t>VÄSTRA GÖTALANDS LÄN</t>
        </is>
      </c>
      <c r="G291" t="inlineStr">
        <is>
          <t>ALINGSÅS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46251</v>
      </c>
      <c r="F292" t="inlineStr">
        <is>
          <t>VÄSTRA GÖTALANDS LÄN</t>
        </is>
      </c>
      <c r="G292" t="inlineStr">
        <is>
          <t>ALINGSÅS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46251</v>
      </c>
      <c r="F293" t="inlineStr">
        <is>
          <t>VÄSTRA GÖTALANDS LÄN</t>
        </is>
      </c>
      <c r="G293" t="inlineStr">
        <is>
          <t>ALINGSÅS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46251</v>
      </c>
      <c r="F294" t="inlineStr">
        <is>
          <t>VÄSTRA GÖTALANDS LÄN</t>
        </is>
      </c>
      <c r="G294" t="inlineStr">
        <is>
          <t>ALINGSÅS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46251</v>
      </c>
      <c r="F295" t="inlineStr">
        <is>
          <t>VÄSTRA GÖTALANDS LÄN</t>
        </is>
      </c>
      <c r="G295" t="inlineStr">
        <is>
          <t>ALINGSÅS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46251</v>
      </c>
      <c r="F296" t="inlineStr">
        <is>
          <t>VÄSTRA GÖTALANDS LÄN</t>
        </is>
      </c>
      <c r="G296" t="inlineStr">
        <is>
          <t>ALINGSÅS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46251</v>
      </c>
      <c r="F297" t="inlineStr">
        <is>
          <t>VÄSTRA GÖTALANDS LÄN</t>
        </is>
      </c>
      <c r="G297" t="inlineStr">
        <is>
          <t>ALINGSÅS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46251</v>
      </c>
      <c r="F298" t="inlineStr">
        <is>
          <t>VÄSTRA GÖTALANDS LÄN</t>
        </is>
      </c>
      <c r="G298" t="inlineStr">
        <is>
          <t>ALINGSÅS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46251</v>
      </c>
      <c r="F299" t="inlineStr">
        <is>
          <t>VÄSTRA GÖTALANDS LÄN</t>
        </is>
      </c>
      <c r="G299" t="inlineStr">
        <is>
          <t>ALINGSÅS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46251</v>
      </c>
      <c r="F300" t="inlineStr">
        <is>
          <t>VÄSTRA GÖTALANDS LÄN</t>
        </is>
      </c>
      <c r="G300" t="inlineStr">
        <is>
          <t>ALINGSÅS</t>
        </is>
      </c>
      <c r="I300" t="n">
        <v>21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46251</v>
      </c>
      <c r="F301" t="inlineStr">
        <is>
          <t>VÄSTRA GÖTALANDS LÄN</t>
        </is>
      </c>
      <c r="G301" t="inlineStr">
        <is>
          <t>ALINGSÅS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19553-2024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45429</v>
      </c>
      <c r="E302" s="1" t="n">
        <v>46251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45850</v>
      </c>
      <c r="E303" s="1" t="n">
        <v>46251</v>
      </c>
      <c r="F303" t="inlineStr">
        <is>
          <t>VÄSTRA GÖTALANDS LÄN</t>
        </is>
      </c>
      <c r="G303" t="inlineStr">
        <is>
          <t>ALINGSÅS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46251</v>
      </c>
      <c r="F304" t="inlineStr">
        <is>
          <t>VÄSTRA GÖTALANDS LÄN</t>
        </is>
      </c>
      <c r="G304" t="inlineStr">
        <is>
          <t>ALINGSÅS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45850</v>
      </c>
      <c r="E305" s="1" t="n">
        <v>46251</v>
      </c>
      <c r="F305" t="inlineStr">
        <is>
          <t>VÄSTRA GÖTALANDS LÄN</t>
        </is>
      </c>
      <c r="G305" t="inlineStr">
        <is>
          <t>ALINGSÅS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45757</v>
      </c>
      <c r="E306" s="1" t="n">
        <v>46251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46245</v>
      </c>
      <c r="E307" s="1" t="n">
        <v>46251</v>
      </c>
      <c r="F307" t="inlineStr">
        <is>
          <t>VÄSTRA GÖTALANDS LÄN</t>
        </is>
      </c>
      <c r="G307" t="inlineStr">
        <is>
          <t>ALINGSÅS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46251</v>
      </c>
      <c r="F308" t="inlineStr">
        <is>
          <t>VÄSTRA GÖTALANDS LÄN</t>
        </is>
      </c>
      <c r="G308" t="inlineStr">
        <is>
          <t>ALINGSÅS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46245</v>
      </c>
      <c r="E309" s="1" t="n">
        <v>46251</v>
      </c>
      <c r="F309" t="inlineStr">
        <is>
          <t>VÄSTRA GÖTALANDS LÄN</t>
        </is>
      </c>
      <c r="G309" t="inlineStr">
        <is>
          <t>ALINGSÅS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46251</v>
      </c>
      <c r="F310" t="inlineStr">
        <is>
          <t>VÄSTRA GÖTALANDS LÄN</t>
        </is>
      </c>
      <c r="G310" t="inlineStr">
        <is>
          <t>ALINGSÅS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46248</v>
      </c>
      <c r="E311" s="1" t="n">
        <v>46251</v>
      </c>
      <c r="F311" t="inlineStr">
        <is>
          <t>VÄSTRA GÖTALANDS LÄN</t>
        </is>
      </c>
      <c r="G311" t="inlineStr">
        <is>
          <t>ALINGSÅS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46251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46251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46251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46251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46251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46251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46251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46251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46251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46251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2026-08-17T01:48:46Z</dcterms:created>
  <dcterms:modified xmlns:dcterms="http://purl.org/dc/terms/" xmlns:xsi="http://www.w3.org/2001/XMLSchema-instance" xsi:type="dcterms:W3CDTF">2026-08-17T01:48:46Z</dcterms:modified>
</cp:coreProperties>
</file>