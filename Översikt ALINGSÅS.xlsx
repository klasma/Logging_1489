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45850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45850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45850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45850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45850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45850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45850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45850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45850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45850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45850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45850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45850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45850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45850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48319-2019</t>
        </is>
      </c>
      <c r="B17" s="1" t="n">
        <v>43726</v>
      </c>
      <c r="C17" s="1" t="n">
        <v>45850</v>
      </c>
      <c r="D17" t="inlineStr">
        <is>
          <t>VÄSTRA GÖTALANDS LÄN</t>
        </is>
      </c>
      <c r="E17" t="inlineStr">
        <is>
          <t>ALINGSÅS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HYPERLINK("https://klasma.github.io/Logging_1489/artfynd/A 48319-2019 artfynd.xlsx", "A 48319-2019")</f>
        <v/>
      </c>
      <c r="T17">
        <f>HYPERLINK("https://klasma.github.io/Logging_1489/kartor/A 48319-2019 karta.png", "A 48319-2019")</f>
        <v/>
      </c>
      <c r="V17">
        <f>HYPERLINK("https://klasma.github.io/Logging_1489/klagomål/A 48319-2019 FSC-klagomål.docx", "A 48319-2019")</f>
        <v/>
      </c>
      <c r="W17">
        <f>HYPERLINK("https://klasma.github.io/Logging_1489/klagomålsmail/A 48319-2019 FSC-klagomål mail.docx", "A 48319-2019")</f>
        <v/>
      </c>
      <c r="X17">
        <f>HYPERLINK("https://klasma.github.io/Logging_1489/tillsyn/A 48319-2019 tillsynsbegäran.docx", "A 48319-2019")</f>
        <v/>
      </c>
      <c r="Y17">
        <f>HYPERLINK("https://klasma.github.io/Logging_1489/tillsynsmail/A 48319-2019 tillsynsbegäran mail.docx", "A 48319-2019")</f>
        <v/>
      </c>
      <c r="Z17">
        <f>HYPERLINK("https://klasma.github.io/Logging_1489/fåglar/A 48319-2019 prioriterade fågelarter.docx", "A 48319-2019")</f>
        <v/>
      </c>
    </row>
    <row r="18" ht="15" customHeight="1">
      <c r="A18" t="inlineStr">
        <is>
          <t>A 24498-2020</t>
        </is>
      </c>
      <c r="B18" s="1" t="n">
        <v>43975</v>
      </c>
      <c r="C18" s="1" t="n">
        <v>45850</v>
      </c>
      <c r="D18" t="inlineStr">
        <is>
          <t>VÄSTRA GÖTALANDS LÄN</t>
        </is>
      </c>
      <c r="E18" t="inlineStr">
        <is>
          <t>ALINGSÅS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24498-2020 artfynd.xlsx", "A 24498-2020")</f>
        <v/>
      </c>
      <c r="T18">
        <f>HYPERLINK("https://klasma.github.io/Logging_1489/kartor/A 24498-2020 karta.png", "A 24498-2020")</f>
        <v/>
      </c>
      <c r="U18">
        <f>HYPERLINK("https://klasma.github.io/Logging_1489/knärot/A 24498-2020 karta knärot.png", "A 24498-2020")</f>
        <v/>
      </c>
      <c r="V18">
        <f>HYPERLINK("https://klasma.github.io/Logging_1489/klagomål/A 24498-2020 FSC-klagomål.docx", "A 24498-2020")</f>
        <v/>
      </c>
      <c r="W18">
        <f>HYPERLINK("https://klasma.github.io/Logging_1489/klagomålsmail/A 24498-2020 FSC-klagomål mail.docx", "A 24498-2020")</f>
        <v/>
      </c>
      <c r="X18">
        <f>HYPERLINK("https://klasma.github.io/Logging_1489/tillsyn/A 24498-2020 tillsynsbegäran.docx", "A 24498-2020")</f>
        <v/>
      </c>
      <c r="Y18">
        <f>HYPERLINK("https://klasma.github.io/Logging_1489/tillsynsmail/A 24498-2020 tillsynsbegäran mail.docx", "A 24498-2020")</f>
        <v/>
      </c>
    </row>
    <row r="19" ht="15" customHeight="1">
      <c r="A19" t="inlineStr">
        <is>
          <t>A 26240-2020</t>
        </is>
      </c>
      <c r="B19" s="1" t="n">
        <v>43986</v>
      </c>
      <c r="C19" s="1" t="n">
        <v>45850</v>
      </c>
      <c r="D19" t="inlineStr">
        <is>
          <t>VÄSTRA GÖTALANDS LÄN</t>
        </is>
      </c>
      <c r="E19" t="inlineStr">
        <is>
          <t>ALINGSÅS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Kastanjesopp</t>
        </is>
      </c>
      <c r="S19">
        <f>HYPERLINK("https://klasma.github.io/Logging_1489/artfynd/A 26240-2020 artfynd.xlsx", "A 26240-2020")</f>
        <v/>
      </c>
      <c r="T19">
        <f>HYPERLINK("https://klasma.github.io/Logging_1489/kartor/A 26240-2020 karta.png", "A 26240-2020")</f>
        <v/>
      </c>
      <c r="V19">
        <f>HYPERLINK("https://klasma.github.io/Logging_1489/klagomål/A 26240-2020 FSC-klagomål.docx", "A 26240-2020")</f>
        <v/>
      </c>
      <c r="W19">
        <f>HYPERLINK("https://klasma.github.io/Logging_1489/klagomålsmail/A 26240-2020 FSC-klagomål mail.docx", "A 26240-2020")</f>
        <v/>
      </c>
      <c r="X19">
        <f>HYPERLINK("https://klasma.github.io/Logging_1489/tillsyn/A 26240-2020 tillsynsbegäran.docx", "A 26240-2020")</f>
        <v/>
      </c>
      <c r="Y19">
        <f>HYPERLINK("https://klasma.github.io/Logging_1489/tillsynsmail/A 26240-2020 tillsynsbegäran mail.docx", "A 26240-2020")</f>
        <v/>
      </c>
    </row>
    <row r="20" ht="15" customHeight="1">
      <c r="A20" t="inlineStr">
        <is>
          <t>A 27585-2020</t>
        </is>
      </c>
      <c r="B20" s="1" t="n">
        <v>43993</v>
      </c>
      <c r="C20" s="1" t="n">
        <v>45850</v>
      </c>
      <c r="D20" t="inlineStr">
        <is>
          <t>VÄSTRA GÖTALANDS LÄN</t>
        </is>
      </c>
      <c r="E20" t="inlineStr">
        <is>
          <t>ALINGSÅS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Lindskål</t>
        </is>
      </c>
      <c r="S20">
        <f>HYPERLINK("https://klasma.github.io/Logging_1489/artfynd/A 27585-2020 artfynd.xlsx", "A 27585-2020")</f>
        <v/>
      </c>
      <c r="T20">
        <f>HYPERLINK("https://klasma.github.io/Logging_1489/kartor/A 27585-2020 karta.png", "A 27585-2020")</f>
        <v/>
      </c>
      <c r="V20">
        <f>HYPERLINK("https://klasma.github.io/Logging_1489/klagomål/A 27585-2020 FSC-klagomål.docx", "A 27585-2020")</f>
        <v/>
      </c>
      <c r="W20">
        <f>HYPERLINK("https://klasma.github.io/Logging_1489/klagomålsmail/A 27585-2020 FSC-klagomål mail.docx", "A 27585-2020")</f>
        <v/>
      </c>
      <c r="X20">
        <f>HYPERLINK("https://klasma.github.io/Logging_1489/tillsyn/A 27585-2020 tillsynsbegäran.docx", "A 27585-2020")</f>
        <v/>
      </c>
      <c r="Y20">
        <f>HYPERLINK("https://klasma.github.io/Logging_1489/tillsynsmail/A 27585-2020 tillsynsbegäran mail.docx", "A 27585-2020")</f>
        <v/>
      </c>
    </row>
    <row r="21" ht="15" customHeight="1">
      <c r="A21" t="inlineStr">
        <is>
          <t>A 7652-2021</t>
        </is>
      </c>
      <c r="B21" s="1" t="n">
        <v>44242</v>
      </c>
      <c r="C21" s="1" t="n">
        <v>45850</v>
      </c>
      <c r="D21" t="inlineStr">
        <is>
          <t>VÄSTRA GÖTALANDS LÄN</t>
        </is>
      </c>
      <c r="E21" t="inlineStr">
        <is>
          <t>ALINGSÅS</t>
        </is>
      </c>
      <c r="G21" t="n">
        <v>24.7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7652-2021 artfynd.xlsx", "A 7652-2021")</f>
        <v/>
      </c>
      <c r="T21">
        <f>HYPERLINK("https://klasma.github.io/Logging_1489/kartor/A 7652-2021 karta.png", "A 7652-2021")</f>
        <v/>
      </c>
      <c r="V21">
        <f>HYPERLINK("https://klasma.github.io/Logging_1489/klagomål/A 7652-2021 FSC-klagomål.docx", "A 7652-2021")</f>
        <v/>
      </c>
      <c r="W21">
        <f>HYPERLINK("https://klasma.github.io/Logging_1489/klagomålsmail/A 7652-2021 FSC-klagomål mail.docx", "A 7652-2021")</f>
        <v/>
      </c>
      <c r="X21">
        <f>HYPERLINK("https://klasma.github.io/Logging_1489/tillsyn/A 7652-2021 tillsynsbegäran.docx", "A 7652-2021")</f>
        <v/>
      </c>
      <c r="Y21">
        <f>HYPERLINK("https://klasma.github.io/Logging_1489/tillsynsmail/A 7652-2021 tillsynsbegäran mail.docx", "A 7652-2021")</f>
        <v/>
      </c>
      <c r="Z21">
        <f>HYPERLINK("https://klasma.github.io/Logging_1489/fåglar/A 7652-2021 prioriterade fågelarter.docx", "A 7652-2021")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45850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46768-2022</t>
        </is>
      </c>
      <c r="B23" s="1" t="n">
        <v>44848</v>
      </c>
      <c r="C23" s="1" t="n">
        <v>45850</v>
      </c>
      <c r="D23" t="inlineStr">
        <is>
          <t>VÄSTRA GÖTALANDS LÄN</t>
        </is>
      </c>
      <c r="E23" t="inlineStr">
        <is>
          <t>ALINGSÅS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Flodkräfta</t>
        </is>
      </c>
      <c r="S23">
        <f>HYPERLINK("https://klasma.github.io/Logging_1489/artfynd/A 46768-2022 artfynd.xlsx", "A 46768-2022")</f>
        <v/>
      </c>
      <c r="T23">
        <f>HYPERLINK("https://klasma.github.io/Logging_1489/kartor/A 46768-2022 karta.png", "A 46768-2022")</f>
        <v/>
      </c>
      <c r="V23">
        <f>HYPERLINK("https://klasma.github.io/Logging_1489/klagomål/A 46768-2022 FSC-klagomål.docx", "A 46768-2022")</f>
        <v/>
      </c>
      <c r="W23">
        <f>HYPERLINK("https://klasma.github.io/Logging_1489/klagomålsmail/A 46768-2022 FSC-klagomål mail.docx", "A 46768-2022")</f>
        <v/>
      </c>
      <c r="X23">
        <f>HYPERLINK("https://klasma.github.io/Logging_1489/tillsyn/A 46768-2022 tillsynsbegäran.docx", "A 46768-2022")</f>
        <v/>
      </c>
      <c r="Y23">
        <f>HYPERLINK("https://klasma.github.io/Logging_1489/tillsynsmail/A 46768-2022 tillsynsbegäran mail.docx", "A 46768-2022")</f>
        <v/>
      </c>
    </row>
    <row r="24" ht="15" customHeight="1">
      <c r="A24" t="inlineStr">
        <is>
          <t>A 26384-2023</t>
        </is>
      </c>
      <c r="B24" s="1" t="n">
        <v>45092</v>
      </c>
      <c r="C24" s="1" t="n">
        <v>45850</v>
      </c>
      <c r="D24" t="inlineStr">
        <is>
          <t>VÄSTRA GÖTALANDS LÄN</t>
        </is>
      </c>
      <c r="E24" t="inlineStr">
        <is>
          <t>ALINGSÅS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26384-2023 artfynd.xlsx", "A 26384-2023")</f>
        <v/>
      </c>
      <c r="T24">
        <f>HYPERLINK("https://klasma.github.io/Logging_1489/kartor/A 26384-2023 karta.png", "A 26384-2023")</f>
        <v/>
      </c>
      <c r="V24">
        <f>HYPERLINK("https://klasma.github.io/Logging_1489/klagomål/A 26384-2023 FSC-klagomål.docx", "A 26384-2023")</f>
        <v/>
      </c>
      <c r="W24">
        <f>HYPERLINK("https://klasma.github.io/Logging_1489/klagomålsmail/A 26384-2023 FSC-klagomål mail.docx", "A 26384-2023")</f>
        <v/>
      </c>
      <c r="X24">
        <f>HYPERLINK("https://klasma.github.io/Logging_1489/tillsyn/A 26384-2023 tillsynsbegäran.docx", "A 26384-2023")</f>
        <v/>
      </c>
      <c r="Y24">
        <f>HYPERLINK("https://klasma.github.io/Logging_1489/tillsynsmail/A 26384-2023 tillsynsbegäran mail.docx", "A 26384-2023")</f>
        <v/>
      </c>
      <c r="Z24">
        <f>HYPERLINK("https://klasma.github.io/Logging_1489/fåglar/A 26384-2023 prioriterade fågelarter.docx", "A 26384-2023")</f>
        <v/>
      </c>
    </row>
    <row r="25" ht="15" customHeight="1">
      <c r="A25" t="inlineStr">
        <is>
          <t>A 63479-2023</t>
        </is>
      </c>
      <c r="B25" s="1" t="n">
        <v>45274</v>
      </c>
      <c r="C25" s="1" t="n">
        <v>45850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HYPERLINK("https://klasma.github.io/Logging_1489/artfynd/A 63479-2023 artfynd.xlsx", "A 63479-2023")</f>
        <v/>
      </c>
      <c r="T25">
        <f>HYPERLINK("https://klasma.github.io/Logging_1489/kartor/A 63479-2023 karta.png", "A 63479-2023")</f>
        <v/>
      </c>
      <c r="V25">
        <f>HYPERLINK("https://klasma.github.io/Logging_1489/klagomål/A 63479-2023 FSC-klagomål.docx", "A 63479-2023")</f>
        <v/>
      </c>
      <c r="W25">
        <f>HYPERLINK("https://klasma.github.io/Logging_1489/klagomålsmail/A 63479-2023 FSC-klagomål mail.docx", "A 63479-2023")</f>
        <v/>
      </c>
      <c r="X25">
        <f>HYPERLINK("https://klasma.github.io/Logging_1489/tillsyn/A 63479-2023 tillsynsbegäran.docx", "A 63479-2023")</f>
        <v/>
      </c>
      <c r="Y25">
        <f>HYPERLINK("https://klasma.github.io/Logging_1489/tillsynsmail/A 63479-2023 tillsynsbegäran mail.docx", "A 63479-2023")</f>
        <v/>
      </c>
      <c r="Z25">
        <f>HYPERLINK("https://klasma.github.io/Logging_1489/fåglar/A 63479-2023 prioriterade fågelarter.docx", "A 63479-2023")</f>
        <v/>
      </c>
    </row>
    <row r="26" ht="15" customHeight="1">
      <c r="A26" t="inlineStr">
        <is>
          <t>A 63493-2023</t>
        </is>
      </c>
      <c r="B26" s="1" t="n">
        <v>45274</v>
      </c>
      <c r="C26" s="1" t="n">
        <v>45850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HYPERLINK("https://klasma.github.io/Logging_1489/artfynd/A 63493-2023 artfynd.xlsx", "A 63493-2023")</f>
        <v/>
      </c>
      <c r="T26">
        <f>HYPERLINK("https://klasma.github.io/Logging_1489/kartor/A 63493-2023 karta.png", "A 63493-2023")</f>
        <v/>
      </c>
      <c r="V26">
        <f>HYPERLINK("https://klasma.github.io/Logging_1489/klagomål/A 63493-2023 FSC-klagomål.docx", "A 63493-2023")</f>
        <v/>
      </c>
      <c r="W26">
        <f>HYPERLINK("https://klasma.github.io/Logging_1489/klagomålsmail/A 63493-2023 FSC-klagomål mail.docx", "A 63493-2023")</f>
        <v/>
      </c>
      <c r="X26">
        <f>HYPERLINK("https://klasma.github.io/Logging_1489/tillsyn/A 63493-2023 tillsynsbegäran.docx", "A 63493-2023")</f>
        <v/>
      </c>
      <c r="Y26">
        <f>HYPERLINK("https://klasma.github.io/Logging_1489/tillsynsmail/A 63493-2023 tillsynsbegäran mail.docx", "A 63493-2023")</f>
        <v/>
      </c>
      <c r="Z26">
        <f>HYPERLINK("https://klasma.github.io/Logging_1489/fåglar/A 63493-2023 prioriterade fågelarter.docx", "A 63493-2023")</f>
        <v/>
      </c>
    </row>
    <row r="27" ht="15" customHeight="1">
      <c r="A27" t="inlineStr">
        <is>
          <t>A 64082-2023</t>
        </is>
      </c>
      <c r="B27" s="1" t="n">
        <v>45279</v>
      </c>
      <c r="C27" s="1" t="n">
        <v>45850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Kommuner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HYPERLINK("https://klasma.github.io/Logging_1489/artfynd/A 64082-2023 artfynd.xlsx", "A 64082-2023")</f>
        <v/>
      </c>
      <c r="T27">
        <f>HYPERLINK("https://klasma.github.io/Logging_1489/kartor/A 64082-2023 karta.png", "A 64082-2023")</f>
        <v/>
      </c>
      <c r="V27">
        <f>HYPERLINK("https://klasma.github.io/Logging_1489/klagomål/A 64082-2023 FSC-klagomål.docx", "A 64082-2023")</f>
        <v/>
      </c>
      <c r="W27">
        <f>HYPERLINK("https://klasma.github.io/Logging_1489/klagomålsmail/A 64082-2023 FSC-klagomål mail.docx", "A 64082-2023")</f>
        <v/>
      </c>
      <c r="X27">
        <f>HYPERLINK("https://klasma.github.io/Logging_1489/tillsyn/A 64082-2023 tillsynsbegäran.docx", "A 64082-2023")</f>
        <v/>
      </c>
      <c r="Y27">
        <f>HYPERLINK("https://klasma.github.io/Logging_1489/tillsynsmail/A 64082-2023 tillsynsbegäran mail.docx", "A 64082-2023")</f>
        <v/>
      </c>
      <c r="Z27">
        <f>HYPERLINK("https://klasma.github.io/Logging_1489/fåglar/A 64082-2023 prioriterade fågelarter.docx", "A 64082-2023")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45850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10542-2024</t>
        </is>
      </c>
      <c r="B29" s="1" t="n">
        <v>45366</v>
      </c>
      <c r="C29" s="1" t="n">
        <v>45850</v>
      </c>
      <c r="D29" t="inlineStr">
        <is>
          <t>VÄSTRA GÖTALANDS LÄN</t>
        </is>
      </c>
      <c r="E29" t="inlineStr">
        <is>
          <t>ALINGSÅS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HYPERLINK("https://klasma.github.io/Logging_1489/artfynd/A 10542-2024 artfynd.xlsx", "A 10542-2024")</f>
        <v/>
      </c>
      <c r="T29">
        <f>HYPERLINK("https://klasma.github.io/Logging_1489/kartor/A 10542-2024 karta.png", "A 10542-2024")</f>
        <v/>
      </c>
      <c r="V29">
        <f>HYPERLINK("https://klasma.github.io/Logging_1489/klagomål/A 10542-2024 FSC-klagomål.docx", "A 10542-2024")</f>
        <v/>
      </c>
      <c r="W29">
        <f>HYPERLINK("https://klasma.github.io/Logging_1489/klagomålsmail/A 10542-2024 FSC-klagomål mail.docx", "A 10542-2024")</f>
        <v/>
      </c>
      <c r="X29">
        <f>HYPERLINK("https://klasma.github.io/Logging_1489/tillsyn/A 10542-2024 tillsynsbegäran.docx", "A 10542-2024")</f>
        <v/>
      </c>
      <c r="Y29">
        <f>HYPERLINK("https://klasma.github.io/Logging_1489/tillsynsmail/A 10542-2024 tillsynsbegäran mail.docx", "A 10542-2024")</f>
        <v/>
      </c>
    </row>
    <row r="30" ht="15" customHeight="1">
      <c r="A30" t="inlineStr">
        <is>
          <t>A 16935-2024</t>
        </is>
      </c>
      <c r="B30" s="1" t="n">
        <v>45411</v>
      </c>
      <c r="C30" s="1" t="n">
        <v>45850</v>
      </c>
      <c r="D30" t="inlineStr">
        <is>
          <t>VÄSTRA GÖTALANDS LÄN</t>
        </is>
      </c>
      <c r="E30" t="inlineStr">
        <is>
          <t>ALINGSÅS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16935-2024 artfynd.xlsx", "A 16935-2024")</f>
        <v/>
      </c>
      <c r="T30">
        <f>HYPERLINK("https://klasma.github.io/Logging_1489/kartor/A 16935-2024 karta.png", "A 16935-2024")</f>
        <v/>
      </c>
      <c r="U30">
        <f>HYPERLINK("https://klasma.github.io/Logging_1489/knärot/A 16935-2024 karta knärot.png", "A 16935-2024")</f>
        <v/>
      </c>
      <c r="V30">
        <f>HYPERLINK("https://klasma.github.io/Logging_1489/klagomål/A 16935-2024 FSC-klagomål.docx", "A 16935-2024")</f>
        <v/>
      </c>
      <c r="W30">
        <f>HYPERLINK("https://klasma.github.io/Logging_1489/klagomålsmail/A 16935-2024 FSC-klagomål mail.docx", "A 16935-2024")</f>
        <v/>
      </c>
      <c r="X30">
        <f>HYPERLINK("https://klasma.github.io/Logging_1489/tillsyn/A 16935-2024 tillsynsbegäran.docx", "A 16935-2024")</f>
        <v/>
      </c>
      <c r="Y30">
        <f>HYPERLINK("https://klasma.github.io/Logging_1489/tillsynsmail/A 16935-2024 tillsynsbegäran mail.docx", "A 16935-2024")</f>
        <v/>
      </c>
    </row>
    <row r="31" ht="15" customHeight="1">
      <c r="A31" t="inlineStr">
        <is>
          <t>A 21662-2024</t>
        </is>
      </c>
      <c r="B31" s="1" t="n">
        <v>45442</v>
      </c>
      <c r="C31" s="1" t="n">
        <v>45850</v>
      </c>
      <c r="D31" t="inlineStr">
        <is>
          <t>VÄSTRA GÖTALANDS LÄN</t>
        </is>
      </c>
      <c r="E31" t="inlineStr">
        <is>
          <t>ALINGSÅS</t>
        </is>
      </c>
      <c r="G31" t="n">
        <v>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Ärtsångare</t>
        </is>
      </c>
      <c r="S31">
        <f>HYPERLINK("https://klasma.github.io/Logging_1489/artfynd/A 21662-2024 artfynd.xlsx", "A 21662-2024")</f>
        <v/>
      </c>
      <c r="T31">
        <f>HYPERLINK("https://klasma.github.io/Logging_1489/kartor/A 21662-2024 karta.png", "A 21662-2024")</f>
        <v/>
      </c>
      <c r="V31">
        <f>HYPERLINK("https://klasma.github.io/Logging_1489/klagomål/A 21662-2024 FSC-klagomål.docx", "A 21662-2024")</f>
        <v/>
      </c>
      <c r="W31">
        <f>HYPERLINK("https://klasma.github.io/Logging_1489/klagomålsmail/A 21662-2024 FSC-klagomål mail.docx", "A 21662-2024")</f>
        <v/>
      </c>
      <c r="X31">
        <f>HYPERLINK("https://klasma.github.io/Logging_1489/tillsyn/A 21662-2024 tillsynsbegäran.docx", "A 21662-2024")</f>
        <v/>
      </c>
      <c r="Y31">
        <f>HYPERLINK("https://klasma.github.io/Logging_1489/tillsynsmail/A 21662-2024 tillsynsbegäran mail.docx", "A 21662-2024")</f>
        <v/>
      </c>
      <c r="Z31">
        <f>HYPERLINK("https://klasma.github.io/Logging_1489/fåglar/A 21662-2024 prioriterade fågelarter.docx", "A 21662-2024")</f>
        <v/>
      </c>
    </row>
    <row r="32" ht="15" customHeight="1">
      <c r="A32" t="inlineStr">
        <is>
          <t>A 25832-2024</t>
        </is>
      </c>
      <c r="B32" s="1" t="n">
        <v>45467</v>
      </c>
      <c r="C32" s="1" t="n">
        <v>45850</v>
      </c>
      <c r="D32" t="inlineStr">
        <is>
          <t>VÄSTRA GÖTALANDS LÄN</t>
        </is>
      </c>
      <c r="E32" t="inlineStr">
        <is>
          <t>ALINGSÅS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HYPERLINK("https://klasma.github.io/Logging_1489/artfynd/A 25832-2024 artfynd.xlsx", "A 25832-2024")</f>
        <v/>
      </c>
      <c r="T32">
        <f>HYPERLINK("https://klasma.github.io/Logging_1489/kartor/A 25832-2024 karta.png", "A 25832-2024")</f>
        <v/>
      </c>
      <c r="U32">
        <f>HYPERLINK("https://klasma.github.io/Logging_1489/knärot/A 25832-2024 karta knärot.png", "A 25832-2024")</f>
        <v/>
      </c>
      <c r="V32">
        <f>HYPERLINK("https://klasma.github.io/Logging_1489/klagomål/A 25832-2024 FSC-klagomål.docx", "A 25832-2024")</f>
        <v/>
      </c>
      <c r="W32">
        <f>HYPERLINK("https://klasma.github.io/Logging_1489/klagomålsmail/A 25832-2024 FSC-klagomål mail.docx", "A 25832-2024")</f>
        <v/>
      </c>
      <c r="X32">
        <f>HYPERLINK("https://klasma.github.io/Logging_1489/tillsyn/A 25832-2024 tillsynsbegäran.docx", "A 25832-2024")</f>
        <v/>
      </c>
      <c r="Y32">
        <f>HYPERLINK("https://klasma.github.io/Logging_1489/tillsynsmail/A 25832-2024 tillsynsbegäran mail.docx", "A 25832-2024")</f>
        <v/>
      </c>
    </row>
    <row r="33" ht="15" customHeight="1">
      <c r="A33" t="inlineStr">
        <is>
          <t>A 29313-2024</t>
        </is>
      </c>
      <c r="B33" s="1" t="n">
        <v>45483</v>
      </c>
      <c r="C33" s="1" t="n">
        <v>45850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HYPERLINK("https://klasma.github.io/Logging_1489/artfynd/A 29313-2024 artfynd.xlsx", "A 29313-2024")</f>
        <v/>
      </c>
      <c r="T33">
        <f>HYPERLINK("https://klasma.github.io/Logging_1489/kartor/A 29313-2024 karta.png", "A 29313-2024")</f>
        <v/>
      </c>
      <c r="V33">
        <f>HYPERLINK("https://klasma.github.io/Logging_1489/klagomål/A 29313-2024 FSC-klagomål.docx", "A 29313-2024")</f>
        <v/>
      </c>
      <c r="W33">
        <f>HYPERLINK("https://klasma.github.io/Logging_1489/klagomålsmail/A 29313-2024 FSC-klagomål mail.docx", "A 29313-2024")</f>
        <v/>
      </c>
      <c r="X33">
        <f>HYPERLINK("https://klasma.github.io/Logging_1489/tillsyn/A 29313-2024 tillsynsbegäran.docx", "A 29313-2024")</f>
        <v/>
      </c>
      <c r="Y33">
        <f>HYPERLINK("https://klasma.github.io/Logging_1489/tillsynsmail/A 29313-2024 tillsynsbegäran mail.docx", "A 29313-2024")</f>
        <v/>
      </c>
    </row>
    <row r="34" ht="15" customHeight="1">
      <c r="A34" t="inlineStr">
        <is>
          <t>A 57759-2024</t>
        </is>
      </c>
      <c r="B34" s="1" t="n">
        <v>45630</v>
      </c>
      <c r="C34" s="1" t="n">
        <v>45850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HYPERLINK("https://klasma.github.io/Logging_1489/artfynd/A 57759-2024 artfynd.xlsx", "A 57759-2024")</f>
        <v/>
      </c>
      <c r="T34">
        <f>HYPERLINK("https://klasma.github.io/Logging_1489/kartor/A 57759-2024 karta.png", "A 57759-2024")</f>
        <v/>
      </c>
      <c r="V34">
        <f>HYPERLINK("https://klasma.github.io/Logging_1489/klagomål/A 57759-2024 FSC-klagomål.docx", "A 57759-2024")</f>
        <v/>
      </c>
      <c r="W34">
        <f>HYPERLINK("https://klasma.github.io/Logging_1489/klagomålsmail/A 57759-2024 FSC-klagomål mail.docx", "A 57759-2024")</f>
        <v/>
      </c>
      <c r="X34">
        <f>HYPERLINK("https://klasma.github.io/Logging_1489/tillsyn/A 57759-2024 tillsynsbegäran.docx", "A 57759-2024")</f>
        <v/>
      </c>
      <c r="Y34">
        <f>HYPERLINK("https://klasma.github.io/Logging_1489/tillsynsmail/A 57759-2024 tillsynsbegäran mail.docx", "A 57759-2024")</f>
        <v/>
      </c>
      <c r="Z34">
        <f>HYPERLINK("https://klasma.github.io/Logging_1489/fåglar/A 57759-2024 prioriterade fågelarter.docx", "A 57759-2024")</f>
        <v/>
      </c>
    </row>
    <row r="35" ht="15" customHeight="1">
      <c r="A35" t="inlineStr">
        <is>
          <t>A 58794-2024</t>
        </is>
      </c>
      <c r="B35" s="1" t="n">
        <v>45636</v>
      </c>
      <c r="C35" s="1" t="n">
        <v>45850</v>
      </c>
      <c r="D35" t="inlineStr">
        <is>
          <t>VÄSTRA GÖTALANDS LÄN</t>
        </is>
      </c>
      <c r="E35" t="inlineStr">
        <is>
          <t>ALINGSÅS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HYPERLINK("https://klasma.github.io/Logging_1489/artfynd/A 58794-2024 artfynd.xlsx", "A 58794-2024")</f>
        <v/>
      </c>
      <c r="T35">
        <f>HYPERLINK("https://klasma.github.io/Logging_1489/kartor/A 58794-2024 karta.png", "A 58794-2024")</f>
        <v/>
      </c>
      <c r="V35">
        <f>HYPERLINK("https://klasma.github.io/Logging_1489/klagomål/A 58794-2024 FSC-klagomål.docx", "A 58794-2024")</f>
        <v/>
      </c>
      <c r="W35">
        <f>HYPERLINK("https://klasma.github.io/Logging_1489/klagomålsmail/A 58794-2024 FSC-klagomål mail.docx", "A 58794-2024")</f>
        <v/>
      </c>
      <c r="X35">
        <f>HYPERLINK("https://klasma.github.io/Logging_1489/tillsyn/A 58794-2024 tillsynsbegäran.docx", "A 58794-2024")</f>
        <v/>
      </c>
      <c r="Y35">
        <f>HYPERLINK("https://klasma.github.io/Logging_1489/tillsynsmail/A 58794-2024 tillsynsbegäran mail.docx", "A 58794-2024")</f>
        <v/>
      </c>
    </row>
    <row r="36" ht="15" customHeight="1">
      <c r="A36" t="inlineStr">
        <is>
          <t>A 19620-2025</t>
        </is>
      </c>
      <c r="B36" s="1" t="n">
        <v>45770</v>
      </c>
      <c r="C36" s="1" t="n">
        <v>45850</v>
      </c>
      <c r="D36" t="inlineStr">
        <is>
          <t>VÄSTRA GÖTALANDS LÄN</t>
        </is>
      </c>
      <c r="E36" t="inlineStr">
        <is>
          <t>ALINGSÅS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HYPERLINK("https://klasma.github.io/Logging_141489/artfynd/A 19620-2025 artfynd.xlsx", "A 19620-2025")</f>
        <v/>
      </c>
      <c r="T36">
        <f>HYPERLINK("https://klasma.github.io/Logging_141489/kartor/A 19620-2025 karta.png", "A 19620-2025")</f>
        <v/>
      </c>
      <c r="V36">
        <f>HYPERLINK("https://klasma.github.io/Logging_141489/klagomål/A 19620-2025 FSC-klagomål.docx", "A 19620-2025")</f>
        <v/>
      </c>
      <c r="W36">
        <f>HYPERLINK("https://klasma.github.io/Logging_141489/klagomålsmail/A 19620-2025 FSC-klagomål mail.docx", "A 19620-2025")</f>
        <v/>
      </c>
      <c r="X36">
        <f>HYPERLINK("https://klasma.github.io/Logging_141489/tillsyn/A 19620-2025 tillsynsbegäran.docx", "A 19620-2025")</f>
        <v/>
      </c>
      <c r="Y36">
        <f>HYPERLINK("https://klasma.github.io/Logging_141489/tillsynsmail/A 19620-2025 tillsynsbegäran mail.docx", "A 19620-2025")</f>
        <v/>
      </c>
    </row>
    <row r="37" ht="15" customHeight="1">
      <c r="A37" t="inlineStr">
        <is>
          <t>A 17734-2019</t>
        </is>
      </c>
      <c r="B37" s="1" t="n">
        <v>43556</v>
      </c>
      <c r="C37" s="1" t="n">
        <v>45850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18080-2019</t>
        </is>
      </c>
      <c r="B38" s="1" t="n">
        <v>43558</v>
      </c>
      <c r="C38" s="1" t="n">
        <v>45850</v>
      </c>
      <c r="D38" t="inlineStr">
        <is>
          <t>VÄSTRA GÖTALANDS LÄN</t>
        </is>
      </c>
      <c r="E38" t="inlineStr">
        <is>
          <t>ALINGSÅS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19460-2019</t>
        </is>
      </c>
      <c r="B39" s="1" t="n">
        <v>43565</v>
      </c>
      <c r="C39" s="1" t="n">
        <v>45850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20231-2019</t>
        </is>
      </c>
      <c r="B40" s="1" t="n">
        <v>43571</v>
      </c>
      <c r="C40" s="1" t="n">
        <v>45850</v>
      </c>
      <c r="D40" t="inlineStr">
        <is>
          <t>VÄSTRA GÖTALANDS LÄN</t>
        </is>
      </c>
      <c r="E40" t="inlineStr">
        <is>
          <t>ALINGSÅS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20977-2019</t>
        </is>
      </c>
      <c r="B41" s="1" t="n">
        <v>43578</v>
      </c>
      <c r="C41" s="1" t="n">
        <v>45850</v>
      </c>
      <c r="D41" t="inlineStr">
        <is>
          <t>VÄSTRA GÖTALANDS LÄN</t>
        </is>
      </c>
      <c r="E41" t="inlineStr">
        <is>
          <t>ALINGSÅS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21902-2019</t>
        </is>
      </c>
      <c r="B42" s="1" t="n">
        <v>43584</v>
      </c>
      <c r="C42" s="1" t="n">
        <v>45850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22930-2019</t>
        </is>
      </c>
      <c r="B43" s="1" t="n">
        <v>43591</v>
      </c>
      <c r="C43" s="1" t="n">
        <v>45850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23223-2019</t>
        </is>
      </c>
      <c r="B44" s="1" t="n">
        <v>43592</v>
      </c>
      <c r="C44" s="1" t="n">
        <v>45850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23220-2019</t>
        </is>
      </c>
      <c r="B45" s="1" t="n">
        <v>43592</v>
      </c>
      <c r="C45" s="1" t="n">
        <v>45850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Kommuner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24205-2019</t>
        </is>
      </c>
      <c r="B46" s="1" t="n">
        <v>43599</v>
      </c>
      <c r="C46" s="1" t="n">
        <v>45850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25649-2019</t>
        </is>
      </c>
      <c r="B47" s="1" t="n">
        <v>43602</v>
      </c>
      <c r="C47" s="1" t="n">
        <v>45850</v>
      </c>
      <c r="D47" t="inlineStr">
        <is>
          <t>VÄSTRA GÖTALANDS LÄN</t>
        </is>
      </c>
      <c r="E47" t="inlineStr">
        <is>
          <t>ALINGSÅS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25646-2019</t>
        </is>
      </c>
      <c r="B48" s="1" t="n">
        <v>43602</v>
      </c>
      <c r="C48" s="1" t="n">
        <v>45850</v>
      </c>
      <c r="D48" t="inlineStr">
        <is>
          <t>VÄSTRA GÖTALANDS LÄN</t>
        </is>
      </c>
      <c r="E48" t="inlineStr">
        <is>
          <t>ALINGSÅS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25728-2019</t>
        </is>
      </c>
      <c r="B49" s="1" t="n">
        <v>43608</v>
      </c>
      <c r="C49" s="1" t="n">
        <v>45850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26386-2019</t>
        </is>
      </c>
      <c r="B50" s="1" t="n">
        <v>43612</v>
      </c>
      <c r="C50" s="1" t="n">
        <v>45850</v>
      </c>
      <c r="D50" t="inlineStr">
        <is>
          <t>VÄSTRA GÖTALANDS LÄN</t>
        </is>
      </c>
      <c r="E50" t="inlineStr">
        <is>
          <t>ALINGSÅS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26387-2019</t>
        </is>
      </c>
      <c r="B51" s="1" t="n">
        <v>43612</v>
      </c>
      <c r="C51" s="1" t="n">
        <v>45850</v>
      </c>
      <c r="D51" t="inlineStr">
        <is>
          <t>VÄSTRA GÖTALANDS LÄN</t>
        </is>
      </c>
      <c r="E51" t="inlineStr">
        <is>
          <t>ALINGSÅS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27943-2019</t>
        </is>
      </c>
      <c r="B52" s="1" t="n">
        <v>43620</v>
      </c>
      <c r="C52" s="1" t="n">
        <v>45850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29040-2019</t>
        </is>
      </c>
      <c r="B53" s="1" t="n">
        <v>43628</v>
      </c>
      <c r="C53" s="1" t="n">
        <v>45850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30231-2019</t>
        </is>
      </c>
      <c r="B54" s="1" t="n">
        <v>43630</v>
      </c>
      <c r="C54" s="1" t="n">
        <v>45850</v>
      </c>
      <c r="D54" t="inlineStr">
        <is>
          <t>VÄSTRA GÖTALANDS LÄN</t>
        </is>
      </c>
      <c r="E54" t="inlineStr">
        <is>
          <t>ALINGSÅS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30454-2019</t>
        </is>
      </c>
      <c r="B55" s="1" t="n">
        <v>43633</v>
      </c>
      <c r="C55" s="1" t="n">
        <v>45850</v>
      </c>
      <c r="D55" t="inlineStr">
        <is>
          <t>VÄSTRA GÖTALANDS LÄN</t>
        </is>
      </c>
      <c r="E55" t="inlineStr">
        <is>
          <t>ALINGSÅS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30516-2019</t>
        </is>
      </c>
      <c r="B56" s="1" t="n">
        <v>43635</v>
      </c>
      <c r="C56" s="1" t="n">
        <v>45850</v>
      </c>
      <c r="D56" t="inlineStr">
        <is>
          <t>VÄSTRA GÖTALANDS LÄN</t>
        </is>
      </c>
      <c r="E56" t="inlineStr">
        <is>
          <t>ALINGSÅS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30908-2019</t>
        </is>
      </c>
      <c r="B57" s="1" t="n">
        <v>43636</v>
      </c>
      <c r="C57" s="1" t="n">
        <v>45850</v>
      </c>
      <c r="D57" t="inlineStr">
        <is>
          <t>VÄSTRA GÖTALANDS LÄN</t>
        </is>
      </c>
      <c r="E57" t="inlineStr">
        <is>
          <t>ALINGSÅS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32951-2019</t>
        </is>
      </c>
      <c r="B58" s="1" t="n">
        <v>43648</v>
      </c>
      <c r="C58" s="1" t="n">
        <v>45850</v>
      </c>
      <c r="D58" t="inlineStr">
        <is>
          <t>VÄSTRA GÖTALANDS LÄN</t>
        </is>
      </c>
      <c r="E58" t="inlineStr">
        <is>
          <t>ALINGSÅS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32947-2019</t>
        </is>
      </c>
      <c r="B59" s="1" t="n">
        <v>43648</v>
      </c>
      <c r="C59" s="1" t="n">
        <v>45850</v>
      </c>
      <c r="D59" t="inlineStr">
        <is>
          <t>VÄSTRA GÖTALANDS LÄN</t>
        </is>
      </c>
      <c r="E59" t="inlineStr">
        <is>
          <t>ALINGSÅS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33366-2019</t>
        </is>
      </c>
      <c r="B60" s="1" t="n">
        <v>43650</v>
      </c>
      <c r="C60" s="1" t="n">
        <v>45850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33885-2019</t>
        </is>
      </c>
      <c r="B61" s="1" t="n">
        <v>43653</v>
      </c>
      <c r="C61" s="1" t="n">
        <v>45850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34662-2019</t>
        </is>
      </c>
      <c r="B62" s="1" t="n">
        <v>43657</v>
      </c>
      <c r="C62" s="1" t="n">
        <v>45850</v>
      </c>
      <c r="D62" t="inlineStr">
        <is>
          <t>VÄSTRA GÖTALANDS LÄN</t>
        </is>
      </c>
      <c r="E62" t="inlineStr">
        <is>
          <t>ALINGSÅS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34941-2019</t>
        </is>
      </c>
      <c r="B63" s="1" t="n">
        <v>43658</v>
      </c>
      <c r="C63" s="1" t="n">
        <v>45850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35951-2019</t>
        </is>
      </c>
      <c r="B64" s="1" t="n">
        <v>43665</v>
      </c>
      <c r="C64" s="1" t="n">
        <v>45850</v>
      </c>
      <c r="D64" t="inlineStr">
        <is>
          <t>VÄSTRA GÖTALANDS LÄN</t>
        </is>
      </c>
      <c r="E64" t="inlineStr">
        <is>
          <t>ALINGSÅS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37361-2019</t>
        </is>
      </c>
      <c r="B65" s="1" t="n">
        <v>43678</v>
      </c>
      <c r="C65" s="1" t="n">
        <v>45850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38192-2019</t>
        </is>
      </c>
      <c r="B66" s="1" t="n">
        <v>43684</v>
      </c>
      <c r="C66" s="1" t="n">
        <v>45850</v>
      </c>
      <c r="D66" t="inlineStr">
        <is>
          <t>VÄSTRA GÖTALANDS LÄN</t>
        </is>
      </c>
      <c r="E66" t="inlineStr">
        <is>
          <t>ALINGSÅS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38195-2019</t>
        </is>
      </c>
      <c r="B67" s="1" t="n">
        <v>43684</v>
      </c>
      <c r="C67" s="1" t="n">
        <v>45850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38730-2019</t>
        </is>
      </c>
      <c r="B68" s="1" t="n">
        <v>43686</v>
      </c>
      <c r="C68" s="1" t="n">
        <v>45850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40388-2019</t>
        </is>
      </c>
      <c r="B69" s="1" t="n">
        <v>43696</v>
      </c>
      <c r="C69" s="1" t="n">
        <v>45850</v>
      </c>
      <c r="D69" t="inlineStr">
        <is>
          <t>VÄSTRA GÖTALANDS LÄN</t>
        </is>
      </c>
      <c r="E69" t="inlineStr">
        <is>
          <t>ALINGSÅS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41113-2019</t>
        </is>
      </c>
      <c r="B70" s="1" t="n">
        <v>43698</v>
      </c>
      <c r="C70" s="1" t="n">
        <v>45850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41723-2019</t>
        </is>
      </c>
      <c r="B71" s="1" t="n">
        <v>43699</v>
      </c>
      <c r="C71" s="1" t="n">
        <v>45850</v>
      </c>
      <c r="D71" t="inlineStr">
        <is>
          <t>VÄSTRA GÖTALANDS LÄN</t>
        </is>
      </c>
      <c r="E71" t="inlineStr">
        <is>
          <t>ALINGSÅS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44389-2019</t>
        </is>
      </c>
      <c r="B72" s="1" t="n">
        <v>43711</v>
      </c>
      <c r="C72" s="1" t="n">
        <v>45850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46561-2019</t>
        </is>
      </c>
      <c r="B73" s="1" t="n">
        <v>43719</v>
      </c>
      <c r="C73" s="1" t="n">
        <v>45850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45850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45850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45850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45850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45850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45850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45850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45850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45850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45850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45850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45850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45850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45850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45850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45850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45850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45850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45850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45850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45850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45850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45850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45850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45850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45850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45850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45850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45850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45850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45850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45850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45850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45850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45850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45850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45850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45850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45850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45850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45850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45850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45850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45850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45850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45850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45850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45850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45850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45850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45850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45850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45850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45850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45850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45850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45850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45850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45850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45850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45850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45850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45850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45850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45850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45850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45850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45850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45850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45850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45850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45850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45850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45850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45850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45850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45850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45850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45850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45850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45850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45850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45850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45850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45850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45850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45850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45850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45850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45850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45850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45850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45850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45850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45850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45850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45850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45850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45850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45850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45850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45850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45850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45850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45850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45850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45850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45850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45850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45850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45850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45850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45850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45850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45850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45850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45850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45850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45850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45850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45850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45850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45850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45850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45850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45850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45850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45850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45850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45850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45850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45850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45850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45850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45850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45850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45850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45850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45850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45850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45850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45850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45850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45850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45850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45850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45850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45850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45850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45850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45850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45850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45850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45850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45850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45850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45850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45850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45850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45850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45850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45850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45850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45850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45850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45850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45850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45850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45850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45850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45850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45850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45850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45850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45850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45850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45850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45850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45850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45850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45850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45850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45850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45850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45850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45850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45850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45850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45850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45850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45850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45850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45850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45850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45850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45850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45850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45850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45850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45850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45850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45850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45850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45850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45850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45850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45850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45850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45850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45850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45850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45850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45850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45850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45850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45850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45850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45850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45850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45850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45850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45850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45850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45850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45850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45850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45850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45850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45850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45850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45850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45850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45850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45850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45850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45850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45850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45850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45850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45850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45850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45850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45850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45850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45850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45850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45850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45850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45850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45850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45850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45850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45850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45850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45850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45850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45850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45850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45850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45850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45850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45850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45850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45850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45850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45850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45850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45850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45850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45850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45850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45850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45850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45850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45850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45850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45850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45850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45850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45850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45850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45850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45850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45850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45850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45850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45850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45850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45850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45850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45850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45850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45850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45850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45850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45850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45850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45850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45850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45850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45850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45850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45850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45850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45850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45850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45850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45850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45850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45850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45850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45850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45850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45850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45850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45850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45850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45850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45850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45850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45850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45850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45850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45850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45850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45850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45850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45850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45850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45850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45850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45850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45850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45850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45850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45850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45850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45850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45850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45850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45850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45850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45850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45850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45850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45850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45850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45850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45850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45850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45850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45850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45850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45850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45850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45850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45850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45850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45850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45850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45850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45850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45850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45850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45850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45850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45850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45850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45850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45850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45850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45850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45850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45850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45850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45850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45850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45850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45850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45850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45850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45850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45850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45850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45850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45850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45850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45850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45850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45850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45850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45850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45850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45850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45850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45850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45850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45850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45850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45850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45850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45850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45850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45850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45850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45850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45850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45850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45850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45850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45850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45850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45850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45850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45850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45850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45850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45850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45850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45850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45850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45850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45850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45850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45850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45850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45850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45850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45850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45850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45850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45850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45850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45850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45850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45850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45850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45850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45850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45850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45850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45850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45850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45850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45850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45850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45850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45850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45850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45850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45850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45850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45850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45850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45850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45850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45850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45850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45850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45850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45850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45850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45850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45850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45850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45850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45850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45850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45850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45850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45850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45850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45850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45850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45850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45850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45850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45850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45850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45850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45850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45850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45850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45850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45850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45850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45850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45850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45850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45850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45850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45850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45850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45850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45850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45850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45850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45850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45850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45850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45850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45850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45850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45850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45850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45850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45850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45850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45850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45850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45850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45850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2025-07-12T19:24:03Z</dcterms:created>
  <dcterms:modified xmlns:dcterms="http://purl.org/dc/terms/" xmlns:xsi="http://www.w3.org/2001/XMLSchema-instance" xsi:type="dcterms:W3CDTF">2025-07-12T19:24:04Z</dcterms:modified>
</cp:coreProperties>
</file>