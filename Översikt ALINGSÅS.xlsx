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46237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46237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46237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46237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46237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46237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46237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46237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46237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46237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46237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46237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5383-2024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46237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Övriga Aktiebolag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6</v>
      </c>
      <c r="U23" t="n">
        <v>0</v>
      </c>
      <c r="V23" s="2" t="inlineStr">
        <is>
          <t>Ask</t>
        </is>
      </c>
      <c r="W23">
        <f>HYPERLINK("https://klasma.github.io/Logging_1489/artfynd/A 5383-2024 artfynd.xlsx", "A 5383-2024")</f>
        <v/>
      </c>
      <c r="X23">
        <f>HYPERLINK("https://klasma.github.io/Logging_1489/kartor/A 5383-2024 karta.png", "A 5383-2024")</f>
        <v/>
      </c>
      <c r="Y23">
        <f>HYPERLINK("https://klasma.github.io/Logging_1489/kartor_geotiff/A 5383-2024 georefererad karta.tif", "A 5383-2024")</f>
        <v/>
      </c>
      <c r="AA23">
        <f>HYPERLINK("https://klasma.github.io/Logging_1489/klagomål/A 5383-2024 FSC-klagomål.docx", "A 5383-2024")</f>
        <v/>
      </c>
      <c r="AB23">
        <f>HYPERLINK("https://klasma.github.io/Logging_1489/klagomålsmail/A 5383-2024 FSC-klagomål mail.docx", "A 5383-2024")</f>
        <v/>
      </c>
      <c r="AC23">
        <f>HYPERLINK("https://klasma.github.io/Logging_1489/tillsyn/A 5383-2024 tillsynsbegäran.docx", "A 5383-2024")</f>
        <v/>
      </c>
      <c r="AD23">
        <f>HYPERLINK("https://klasma.github.io/Logging_1489/tillsynsmail/A 5383-2024 tillsynsbegäran mail.docx", "A 5383-2024")</f>
        <v/>
      </c>
    </row>
    <row r="24" ht="15" customHeight="1">
      <c r="A24" t="inlineStr">
        <is>
          <t>A 62603-2023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45271</v>
      </c>
      <c r="E24" s="1" t="n">
        <v>46237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Kyrkan</t>
        </is>
      </c>
      <c r="I24" t="n">
        <v>4.9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Duvhök</t>
        </is>
      </c>
      <c r="W24">
        <f>HYPERLINK("https://klasma.github.io/Logging_1489/artfynd/A 62603-2023 artfynd.xlsx", "A 62603-2023")</f>
        <v/>
      </c>
      <c r="X24">
        <f>HYPERLINK("https://klasma.github.io/Logging_1489/kartor/A 62603-2023 karta.png", "A 62603-2023")</f>
        <v/>
      </c>
      <c r="Y24">
        <f>HYPERLINK("https://klasma.github.io/Logging_1489/kartor_geotiff/A 62603-2023 georefererad karta.tif", "A 62603-2023")</f>
        <v/>
      </c>
      <c r="AA24">
        <f>HYPERLINK("https://klasma.github.io/Logging_1489/klagomål/A 62603-2023 FSC-klagomål.docx", "A 62603-2023")</f>
        <v/>
      </c>
      <c r="AB24">
        <f>HYPERLINK("https://klasma.github.io/Logging_1489/klagomålsmail/A 62603-2023 FSC-klagomål mail.docx", "A 62603-2023")</f>
        <v/>
      </c>
      <c r="AC24">
        <f>HYPERLINK("https://klasma.github.io/Logging_1489/tillsyn/A 62603-2023 tillsynsbegäran.docx", "A 62603-2023")</f>
        <v/>
      </c>
      <c r="AD24">
        <f>HYPERLINK("https://klasma.github.io/Logging_1489/tillsynsmail/A 62603-2023 tillsynsbegäran mail.docx", "A 62603-2023")</f>
        <v/>
      </c>
      <c r="AE24">
        <f>HYPERLINK("https://klasma.github.io/Logging_1489/fåglar/A 62603-2023 prioriterade fågelarter.docx", "A 62603-2023")</f>
        <v/>
      </c>
    </row>
    <row r="25" ht="15" customHeight="1">
      <c r="A25" t="inlineStr">
        <is>
          <t>A 51927-2024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46237</v>
      </c>
      <c r="F25" t="inlineStr">
        <is>
          <t>VÄSTRA GÖTALANDS LÄN</t>
        </is>
      </c>
      <c r="G25" t="inlineStr">
        <is>
          <t>ALINGSÅS</t>
        </is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Strandlummer</t>
        </is>
      </c>
      <c r="W25">
        <f>HYPERLINK("https://klasma.github.io/Logging_1489/artfynd/A 51927-2024 artfynd.xlsx", "A 51927-2024")</f>
        <v/>
      </c>
      <c r="X25">
        <f>HYPERLINK("https://klasma.github.io/Logging_1489/kartor/A 51927-2024 karta.png", "A 51927-2024")</f>
        <v/>
      </c>
      <c r="Y25">
        <f>HYPERLINK("https://klasma.github.io/Logging_1489/kartor_geotiff/A 51927-2024 georefererad karta.tif", "A 51927-2024")</f>
        <v/>
      </c>
      <c r="AA25">
        <f>HYPERLINK("https://klasma.github.io/Logging_1489/klagomål/A 51927-2024 FSC-klagomål.docx", "A 51927-2024")</f>
        <v/>
      </c>
      <c r="AB25">
        <f>HYPERLINK("https://klasma.github.io/Logging_1489/klagomålsmail/A 51927-2024 FSC-klagomål mail.docx", "A 51927-2024")</f>
        <v/>
      </c>
      <c r="AC25">
        <f>HYPERLINK("https://klasma.github.io/Logging_1489/tillsyn/A 51927-2024 tillsynsbegäran.docx", "A 51927-2024")</f>
        <v/>
      </c>
      <c r="AD25">
        <f>HYPERLINK("https://klasma.github.io/Logging_1489/tillsynsmail/A 51927-2024 tillsynsbegäran mail.docx", "A 51927-2024")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46237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46237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46237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Revlummer</t>
        </is>
      </c>
      <c r="W28">
        <f>HYPERLINK("https://klasma.github.io/Logging_1489/artfynd/A 29313-2024 artfynd.xlsx", "A 29313-2024")</f>
        <v/>
      </c>
      <c r="X28">
        <f>HYPERLINK("https://klasma.github.io/Logging_1489/kartor/A 29313-2024 karta.png", "A 29313-2024")</f>
        <v/>
      </c>
      <c r="Y28">
        <f>HYPERLINK("https://klasma.github.io/Logging_1489/kartor_geotiff/A 29313-2024 georefererad karta.tif", "A 29313-2024")</f>
        <v/>
      </c>
      <c r="AA28">
        <f>HYPERLINK("https://klasma.github.io/Logging_1489/klagomål/A 29313-2024 FSC-klagomål.docx", "A 29313-2024")</f>
        <v/>
      </c>
      <c r="AB28">
        <f>HYPERLINK("https://klasma.github.io/Logging_1489/klagomålsmail/A 29313-2024 FSC-klagomål mail.docx", "A 29313-2024")</f>
        <v/>
      </c>
      <c r="AC28">
        <f>HYPERLINK("https://klasma.github.io/Logging_1489/tillsyn/A 29313-2024 tillsynsbegäran.docx", "A 29313-2024")</f>
        <v/>
      </c>
      <c r="AD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46237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46237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46237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46237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46237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46237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46237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46237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46237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46237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46237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46237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46237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46237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46237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46237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46237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46237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46237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46237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46237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46237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46237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46237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46237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46237</v>
      </c>
      <c r="F54" t="inlineStr">
        <is>
          <t>VÄSTRA GÖTALANDS LÄN</t>
        </is>
      </c>
      <c r="G54" t="inlineStr">
        <is>
          <t>ALINGSÅS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46237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46237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46237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46237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46237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46237</v>
      </c>
      <c r="F60" t="inlineStr">
        <is>
          <t>VÄSTRA GÖTALANDS LÄN</t>
        </is>
      </c>
      <c r="G60" t="inlineStr">
        <is>
          <t>ALINGSÅS</t>
        </is>
      </c>
      <c r="H60" t="inlineStr">
        <is>
          <t>Kyrkan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46237</v>
      </c>
      <c r="F61" t="inlineStr">
        <is>
          <t>VÄSTRA GÖTALANDS LÄN</t>
        </is>
      </c>
      <c r="G61" t="inlineStr">
        <is>
          <t>ALINGSÅS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44896</v>
      </c>
      <c r="E62" s="1" t="n">
        <v>46237</v>
      </c>
      <c r="F62" t="inlineStr">
        <is>
          <t>VÄSTRA GÖTALANDS LÄN</t>
        </is>
      </c>
      <c r="G62" t="inlineStr">
        <is>
          <t>ALINGSÅS</t>
        </is>
      </c>
      <c r="I62" t="n">
        <v>10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12884-2022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44642</v>
      </c>
      <c r="E63" s="1" t="n">
        <v>46237</v>
      </c>
      <c r="F63" t="inlineStr">
        <is>
          <t>VÄSTRA GÖTALANDS LÄN</t>
        </is>
      </c>
      <c r="G63" t="inlineStr">
        <is>
          <t>ALINGSÅS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46237</v>
      </c>
      <c r="F64" t="inlineStr">
        <is>
          <t>VÄSTRA GÖTALANDS LÄN</t>
        </is>
      </c>
      <c r="G64" t="inlineStr">
        <is>
          <t>ALINGSÅS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46237</v>
      </c>
      <c r="F65" t="inlineStr">
        <is>
          <t>VÄSTRA GÖTALANDS LÄN</t>
        </is>
      </c>
      <c r="G65" t="inlineStr">
        <is>
          <t>ALINGSÅS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62678-2023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45271</v>
      </c>
      <c r="E66" s="1" t="n">
        <v>46237</v>
      </c>
      <c r="F66" t="inlineStr">
        <is>
          <t>VÄSTRA GÖTALANDS LÄN</t>
        </is>
      </c>
      <c r="G66" t="inlineStr">
        <is>
          <t>ALINGSÅS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25744-2024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45465</v>
      </c>
      <c r="E67" s="1" t="n">
        <v>46237</v>
      </c>
      <c r="F67" t="inlineStr">
        <is>
          <t>VÄSTRA GÖTALANDS LÄN</t>
        </is>
      </c>
      <c r="G67" t="inlineStr">
        <is>
          <t>ALINGSÅS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45465</v>
      </c>
      <c r="E68" s="1" t="n">
        <v>46237</v>
      </c>
      <c r="F68" t="inlineStr">
        <is>
          <t>VÄSTRA GÖTALANDS LÄN</t>
        </is>
      </c>
      <c r="G68" t="inlineStr">
        <is>
          <t>ALINGSÅS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45465</v>
      </c>
      <c r="E69" s="1" t="n">
        <v>46237</v>
      </c>
      <c r="F69" t="inlineStr">
        <is>
          <t>VÄSTRA GÖTALANDS LÄN</t>
        </is>
      </c>
      <c r="G69" t="inlineStr">
        <is>
          <t>ALINGSÅS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23129-2022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44719</v>
      </c>
      <c r="E70" s="1" t="n">
        <v>46237</v>
      </c>
      <c r="F70" t="inlineStr">
        <is>
          <t>VÄSTRA GÖTALANDS LÄN</t>
        </is>
      </c>
      <c r="G70" t="inlineStr">
        <is>
          <t>ALINGSÅS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46237</v>
      </c>
      <c r="F71" t="inlineStr">
        <is>
          <t>VÄSTRA GÖTALANDS LÄN</t>
        </is>
      </c>
      <c r="G71" t="inlineStr">
        <is>
          <t>ALINGSÅS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44957</v>
      </c>
      <c r="E72" s="1" t="n">
        <v>46237</v>
      </c>
      <c r="F72" t="inlineStr">
        <is>
          <t>VÄSTRA GÖTALANDS LÄN</t>
        </is>
      </c>
      <c r="G72" t="inlineStr">
        <is>
          <t>ALINGSÅS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56752-2023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46237</v>
      </c>
      <c r="F73" t="inlineStr">
        <is>
          <t>VÄSTRA GÖTALANDS LÄN</t>
        </is>
      </c>
      <c r="G73" t="inlineStr">
        <is>
          <t>ALINGSÅS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44726</v>
      </c>
      <c r="E74" s="1" t="n">
        <v>46237</v>
      </c>
      <c r="F74" t="inlineStr">
        <is>
          <t>VÄSTRA GÖTALANDS LÄN</t>
        </is>
      </c>
      <c r="G74" t="inlineStr">
        <is>
          <t>ALINGSÅS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45687</v>
      </c>
      <c r="E75" s="1" t="n">
        <v>46237</v>
      </c>
      <c r="F75" t="inlineStr">
        <is>
          <t>VÄSTRA GÖTALANDS LÄN</t>
        </is>
      </c>
      <c r="G75" t="inlineStr">
        <is>
          <t>ALINGSÅS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46237</v>
      </c>
      <c r="F76" t="inlineStr">
        <is>
          <t>VÄSTRA GÖTALANDS LÄN</t>
        </is>
      </c>
      <c r="G76" t="inlineStr">
        <is>
          <t>ALINGSÅS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46237</v>
      </c>
      <c r="F77" t="inlineStr">
        <is>
          <t>VÄSTRA GÖTALANDS LÄN</t>
        </is>
      </c>
      <c r="G77" t="inlineStr">
        <is>
          <t>ALINGSÅS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36291-2024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45534</v>
      </c>
      <c r="E78" s="1" t="n">
        <v>46237</v>
      </c>
      <c r="F78" t="inlineStr">
        <is>
          <t>VÄSTRA GÖTALANDS LÄN</t>
        </is>
      </c>
      <c r="G78" t="inlineStr">
        <is>
          <t>ALINGSÅS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45322-2024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45576</v>
      </c>
      <c r="E79" s="1" t="n">
        <v>46237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45378</v>
      </c>
      <c r="E80" s="1" t="n">
        <v>46237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16117-2024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45406</v>
      </c>
      <c r="E81" s="1" t="n">
        <v>46237</v>
      </c>
      <c r="F81" t="inlineStr">
        <is>
          <t>VÄSTRA GÖTALANDS LÄN</t>
        </is>
      </c>
      <c r="G81" t="inlineStr">
        <is>
          <t>ALINGSÅS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46237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51178-2023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46237</v>
      </c>
      <c r="F83" t="inlineStr">
        <is>
          <t>VÄSTRA GÖTALANDS LÄN</t>
        </is>
      </c>
      <c r="G83" t="inlineStr">
        <is>
          <t>ALINGSÅS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46237</v>
      </c>
      <c r="F84" t="inlineStr">
        <is>
          <t>VÄSTRA GÖTALANDS LÄN</t>
        </is>
      </c>
      <c r="G84" t="inlineStr">
        <is>
          <t>ALINGSÅS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44964</v>
      </c>
      <c r="E85" s="1" t="n">
        <v>46237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44832</v>
      </c>
      <c r="E86" s="1" t="n">
        <v>46237</v>
      </c>
      <c r="F86" t="inlineStr">
        <is>
          <t>VÄSTRA GÖTALANDS LÄN</t>
        </is>
      </c>
      <c r="G86" t="inlineStr">
        <is>
          <t>ALINGSÅS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46883-2021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46237</v>
      </c>
      <c r="F87" t="inlineStr">
        <is>
          <t>VÄSTRA GÖTALANDS LÄN</t>
        </is>
      </c>
      <c r="G87" t="inlineStr">
        <is>
          <t>ALINGSÅS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46237</v>
      </c>
      <c r="F88" t="inlineStr">
        <is>
          <t>VÄSTRA GÖTALANDS LÄN</t>
        </is>
      </c>
      <c r="G88" t="inlineStr">
        <is>
          <t>ALINGSÅS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46237</v>
      </c>
      <c r="F89" t="inlineStr">
        <is>
          <t>VÄSTRA GÖTALANDS LÄN</t>
        </is>
      </c>
      <c r="G89" t="inlineStr">
        <is>
          <t>ALINGSÅS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46237</v>
      </c>
      <c r="F90" t="inlineStr">
        <is>
          <t>VÄSTRA GÖTALANDS LÄN</t>
        </is>
      </c>
      <c r="G90" t="inlineStr">
        <is>
          <t>ALINGSÅS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44855</v>
      </c>
      <c r="E91" s="1" t="n">
        <v>46237</v>
      </c>
      <c r="F91" t="inlineStr">
        <is>
          <t>VÄSTRA GÖTALANDS LÄN</t>
        </is>
      </c>
      <c r="G91" t="inlineStr">
        <is>
          <t>ALINGSÅS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45380</v>
      </c>
      <c r="E92" s="1" t="n">
        <v>46237</v>
      </c>
      <c r="F92" t="inlineStr">
        <is>
          <t>VÄSTRA GÖTALANDS LÄN</t>
        </is>
      </c>
      <c r="G92" t="inlineStr">
        <is>
          <t>ALINGSÅS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46237</v>
      </c>
      <c r="F93" t="inlineStr">
        <is>
          <t>VÄSTRA GÖTALANDS LÄN</t>
        </is>
      </c>
      <c r="G93" t="inlineStr">
        <is>
          <t>ALINGSÅS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45257</v>
      </c>
      <c r="E94" s="1" t="n">
        <v>46237</v>
      </c>
      <c r="F94" t="inlineStr">
        <is>
          <t>VÄSTRA GÖTALANDS LÄN</t>
        </is>
      </c>
      <c r="G94" t="inlineStr">
        <is>
          <t>ALINGSÅS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46237</v>
      </c>
      <c r="F95" t="inlineStr">
        <is>
          <t>VÄSTRA GÖTALANDS LÄN</t>
        </is>
      </c>
      <c r="G95" t="inlineStr">
        <is>
          <t>ALINGSÅS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9181-2022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46237</v>
      </c>
      <c r="F96" t="inlineStr">
        <is>
          <t>VÄSTRA GÖTALANDS LÄN</t>
        </is>
      </c>
      <c r="G96" t="inlineStr">
        <is>
          <t>ALINGSÅS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46491-2021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44445</v>
      </c>
      <c r="E97" s="1" t="n">
        <v>46237</v>
      </c>
      <c r="F97" t="inlineStr">
        <is>
          <t>VÄSTRA GÖTALANDS LÄN</t>
        </is>
      </c>
      <c r="G97" t="inlineStr">
        <is>
          <t>ALINGSÅS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46237</v>
      </c>
      <c r="F98" t="inlineStr">
        <is>
          <t>VÄSTRA GÖTALANDS LÄN</t>
        </is>
      </c>
      <c r="G98" t="inlineStr">
        <is>
          <t>ALINGSÅS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46237</v>
      </c>
      <c r="F99" t="inlineStr">
        <is>
          <t>VÄSTRA GÖTALANDS LÄN</t>
        </is>
      </c>
      <c r="G99" t="inlineStr">
        <is>
          <t>ALINGSÅS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40242-2025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46237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46237</v>
      </c>
      <c r="F101" t="inlineStr">
        <is>
          <t>VÄSTRA GÖTALANDS LÄN</t>
        </is>
      </c>
      <c r="G101" t="inlineStr">
        <is>
          <t>ALINGSÅS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46237</v>
      </c>
      <c r="F102" t="inlineStr">
        <is>
          <t>VÄSTRA GÖTALANDS LÄN</t>
        </is>
      </c>
      <c r="G102" t="inlineStr">
        <is>
          <t>ALINGSÅS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46237</v>
      </c>
      <c r="F103" t="inlineStr">
        <is>
          <t>VÄSTRA GÖTALANDS LÄN</t>
        </is>
      </c>
      <c r="G103" t="inlineStr">
        <is>
          <t>ALINGSÅS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45901</v>
      </c>
      <c r="E104" s="1" t="n">
        <v>46237</v>
      </c>
      <c r="F104" t="inlineStr">
        <is>
          <t>VÄSTRA GÖTALANDS LÄN</t>
        </is>
      </c>
      <c r="G104" t="inlineStr">
        <is>
          <t>ALINGSÅS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46237</v>
      </c>
      <c r="F105" t="inlineStr">
        <is>
          <t>VÄSTRA GÖTALANDS LÄN</t>
        </is>
      </c>
      <c r="G105" t="inlineStr">
        <is>
          <t>ALINGSÅS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46237</v>
      </c>
      <c r="F106" t="inlineStr">
        <is>
          <t>VÄSTRA GÖTALANDS LÄN</t>
        </is>
      </c>
      <c r="G106" t="inlineStr">
        <is>
          <t>ALINGSÅS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46237</v>
      </c>
      <c r="F107" t="inlineStr">
        <is>
          <t>VÄSTRA GÖTALANDS LÄN</t>
        </is>
      </c>
      <c r="G107" t="inlineStr">
        <is>
          <t>ALINGSÅS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46237</v>
      </c>
      <c r="F108" t="inlineStr">
        <is>
          <t>VÄSTRA GÖTALANDS LÄN</t>
        </is>
      </c>
      <c r="G108" t="inlineStr">
        <is>
          <t>ALINGSÅS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46237</v>
      </c>
      <c r="F109" t="inlineStr">
        <is>
          <t>VÄSTRA GÖTALANDS LÄN</t>
        </is>
      </c>
      <c r="G109" t="inlineStr">
        <is>
          <t>ALINGSÅS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42711-2025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45908</v>
      </c>
      <c r="E110" s="1" t="n">
        <v>46237</v>
      </c>
      <c r="F110" t="inlineStr">
        <is>
          <t>VÄSTRA GÖTALANDS LÄN</t>
        </is>
      </c>
      <c r="G110" t="inlineStr">
        <is>
          <t>ALINGSÅS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42710-2025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45908</v>
      </c>
      <c r="E111" s="1" t="n">
        <v>46237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42490-2025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46237</v>
      </c>
      <c r="F112" t="inlineStr">
        <is>
          <t>VÄSTRA GÖTALANDS LÄN</t>
        </is>
      </c>
      <c r="G112" t="inlineStr">
        <is>
          <t>ALINGSÅS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46237</v>
      </c>
      <c r="F113" t="inlineStr">
        <is>
          <t>VÄSTRA GÖTALANDS LÄN</t>
        </is>
      </c>
      <c r="G113" t="inlineStr">
        <is>
          <t>ALINGSÅS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46237</v>
      </c>
      <c r="F114" t="inlineStr">
        <is>
          <t>VÄSTRA GÖTALANDS LÄN</t>
        </is>
      </c>
      <c r="G114" t="inlineStr">
        <is>
          <t>ALINGSÅS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46237</v>
      </c>
      <c r="F115" t="inlineStr">
        <is>
          <t>VÄSTRA GÖTALANDS LÄN</t>
        </is>
      </c>
      <c r="G115" t="inlineStr">
        <is>
          <t>ALINGSÅS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12318-2022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44637</v>
      </c>
      <c r="E116" s="1" t="n">
        <v>46237</v>
      </c>
      <c r="F116" t="inlineStr">
        <is>
          <t>VÄSTRA GÖTALANDS LÄN</t>
        </is>
      </c>
      <c r="G116" t="inlineStr">
        <is>
          <t>ALINGSÅS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45792</v>
      </c>
      <c r="E117" s="1" t="n">
        <v>46237</v>
      </c>
      <c r="F117" t="inlineStr">
        <is>
          <t>VÄSTRA GÖTALANDS LÄN</t>
        </is>
      </c>
      <c r="G117" t="inlineStr">
        <is>
          <t>ALINGSÅS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44530-2025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46237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46237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46237</v>
      </c>
      <c r="F120" t="inlineStr">
        <is>
          <t>VÄSTRA GÖTALANDS LÄN</t>
        </is>
      </c>
      <c r="G120" t="inlineStr">
        <is>
          <t>ALINGSÅS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45015</v>
      </c>
      <c r="E121" s="1" t="n">
        <v>46237</v>
      </c>
      <c r="F121" t="inlineStr">
        <is>
          <t>VÄSTRA GÖTALANDS LÄN</t>
        </is>
      </c>
      <c r="G121" t="inlineStr">
        <is>
          <t>ALINGSÅS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46237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63143-2021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44505</v>
      </c>
      <c r="E123" s="1" t="n">
        <v>46237</v>
      </c>
      <c r="F123" t="inlineStr">
        <is>
          <t>VÄSTRA GÖTALANDS LÄN</t>
        </is>
      </c>
      <c r="G123" t="inlineStr">
        <is>
          <t>ALINGSÅS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64070-2023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46237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46237</v>
      </c>
      <c r="F125" t="inlineStr">
        <is>
          <t>VÄSTRA GÖTALANDS LÄN</t>
        </is>
      </c>
      <c r="G125" t="inlineStr">
        <is>
          <t>ALINGSÅS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46237</v>
      </c>
      <c r="F126" t="inlineStr">
        <is>
          <t>VÄSTRA GÖTALANDS LÄN</t>
        </is>
      </c>
      <c r="G126" t="inlineStr">
        <is>
          <t>ALINGSÅS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45279</v>
      </c>
      <c r="E127" s="1" t="n">
        <v>46237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64194-2023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45279</v>
      </c>
      <c r="E128" s="1" t="n">
        <v>46237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46237</v>
      </c>
      <c r="F129" t="inlineStr">
        <is>
          <t>VÄSTRA GÖTALANDS LÄN</t>
        </is>
      </c>
      <c r="G129" t="inlineStr">
        <is>
          <t>ALINGSÅS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16612-2022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44672</v>
      </c>
      <c r="E130" s="1" t="n">
        <v>46237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46237</v>
      </c>
      <c r="F131" t="inlineStr">
        <is>
          <t>VÄSTRA GÖTALANDS LÄN</t>
        </is>
      </c>
      <c r="G131" t="inlineStr">
        <is>
          <t>ALINGSÅS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46237</v>
      </c>
      <c r="F132" t="inlineStr">
        <is>
          <t>VÄSTRA GÖTALANDS LÄN</t>
        </is>
      </c>
      <c r="G132" t="inlineStr">
        <is>
          <t>ALINGSÅS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46237</v>
      </c>
      <c r="F133" t="inlineStr">
        <is>
          <t>VÄSTRA GÖTALANDS LÄN</t>
        </is>
      </c>
      <c r="G133" t="inlineStr">
        <is>
          <t>ALINGSÅS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45722</v>
      </c>
      <c r="E134" s="1" t="n">
        <v>46237</v>
      </c>
      <c r="F134" t="inlineStr">
        <is>
          <t>VÄSTRA GÖTALANDS LÄN</t>
        </is>
      </c>
      <c r="G134" t="inlineStr">
        <is>
          <t>ALINGSÅS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46237</v>
      </c>
      <c r="F135" t="inlineStr">
        <is>
          <t>VÄSTRA GÖTALANDS LÄN</t>
        </is>
      </c>
      <c r="G135" t="inlineStr">
        <is>
          <t>ALINGSÅS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45011</v>
      </c>
      <c r="E136" s="1" t="n">
        <v>46237</v>
      </c>
      <c r="F136" t="inlineStr">
        <is>
          <t>VÄSTRA GÖTALANDS LÄN</t>
        </is>
      </c>
      <c r="G136" t="inlineStr">
        <is>
          <t>ALINGSÅS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44721</v>
      </c>
      <c r="E137" s="1" t="n">
        <v>46237</v>
      </c>
      <c r="F137" t="inlineStr">
        <is>
          <t>VÄSTRA GÖTALANDS LÄN</t>
        </is>
      </c>
      <c r="G137" t="inlineStr">
        <is>
          <t>ALINGSÅS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44964</v>
      </c>
      <c r="E138" s="1" t="n">
        <v>46237</v>
      </c>
      <c r="F138" t="inlineStr">
        <is>
          <t>VÄSTRA GÖTALANDS LÄN</t>
        </is>
      </c>
      <c r="G138" t="inlineStr">
        <is>
          <t>ALINGSÅS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46237</v>
      </c>
      <c r="F139" t="inlineStr">
        <is>
          <t>VÄSTRA GÖTALANDS LÄN</t>
        </is>
      </c>
      <c r="G139" t="inlineStr">
        <is>
          <t>ALINGSÅS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46237</v>
      </c>
      <c r="F140" t="inlineStr">
        <is>
          <t>VÄSTRA GÖTALANDS LÄN</t>
        </is>
      </c>
      <c r="G140" t="inlineStr">
        <is>
          <t>ALINGSÅS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46237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32286-2024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45512</v>
      </c>
      <c r="E142" s="1" t="n">
        <v>46237</v>
      </c>
      <c r="F142" t="inlineStr">
        <is>
          <t>VÄSTRA GÖTALANDS LÄN</t>
        </is>
      </c>
      <c r="G142" t="inlineStr">
        <is>
          <t>ALINGSÅS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45118</v>
      </c>
      <c r="E143" s="1" t="n">
        <v>46237</v>
      </c>
      <c r="F143" t="inlineStr">
        <is>
          <t>VÄSTRA GÖTALANDS LÄN</t>
        </is>
      </c>
      <c r="G143" t="inlineStr">
        <is>
          <t>ALINGSÅS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53887-2021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44469</v>
      </c>
      <c r="E144" s="1" t="n">
        <v>46237</v>
      </c>
      <c r="F144" t="inlineStr">
        <is>
          <t>VÄSTRA GÖTALANDS LÄN</t>
        </is>
      </c>
      <c r="G144" t="inlineStr">
        <is>
          <t>ALINGSÅS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24607-2022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44727</v>
      </c>
      <c r="E145" s="1" t="n">
        <v>46237</v>
      </c>
      <c r="F145" t="inlineStr">
        <is>
          <t>VÄSTRA GÖTALANDS LÄN</t>
        </is>
      </c>
      <c r="G145" t="inlineStr">
        <is>
          <t>ALINGSÅS</t>
        </is>
      </c>
      <c r="I145" t="n">
        <v>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46237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46237</v>
      </c>
      <c r="F147" t="inlineStr">
        <is>
          <t>VÄSTRA GÖTALANDS LÄN</t>
        </is>
      </c>
      <c r="G147" t="inlineStr">
        <is>
          <t>ALINGSÅS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46237</v>
      </c>
      <c r="F148" t="inlineStr">
        <is>
          <t>VÄSTRA GÖTALANDS LÄN</t>
        </is>
      </c>
      <c r="G148" t="inlineStr">
        <is>
          <t>ALINGSÅS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46237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46237</v>
      </c>
      <c r="F150" t="inlineStr">
        <is>
          <t>VÄSTRA GÖTALANDS LÄN</t>
        </is>
      </c>
      <c r="G150" t="inlineStr">
        <is>
          <t>ALINGSÅS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45660</v>
      </c>
      <c r="E151" s="1" t="n">
        <v>46237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46237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46237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54073-2025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45964</v>
      </c>
      <c r="E154" s="1" t="n">
        <v>46237</v>
      </c>
      <c r="F154" t="inlineStr">
        <is>
          <t>VÄSTRA GÖTALANDS LÄN</t>
        </is>
      </c>
      <c r="G154" t="inlineStr">
        <is>
          <t>ALINGSÅS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45966</v>
      </c>
      <c r="E155" s="1" t="n">
        <v>46237</v>
      </c>
      <c r="F155" t="inlineStr">
        <is>
          <t>VÄSTRA GÖTALANDS LÄN</t>
        </is>
      </c>
      <c r="G155" t="inlineStr">
        <is>
          <t>ALINGSÅS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46237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46237</v>
      </c>
      <c r="F157" t="inlineStr">
        <is>
          <t>VÄSTRA GÖTALANDS LÄN</t>
        </is>
      </c>
      <c r="G157" t="inlineStr">
        <is>
          <t>ALINGSÅS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46237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46237</v>
      </c>
      <c r="F159" t="inlineStr">
        <is>
          <t>VÄSTRA GÖTALANDS LÄN</t>
        </is>
      </c>
      <c r="G159" t="inlineStr">
        <is>
          <t>ALINGSÅS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46237</v>
      </c>
      <c r="F160" t="inlineStr">
        <is>
          <t>VÄSTRA GÖTALANDS LÄN</t>
        </is>
      </c>
      <c r="G160" t="inlineStr">
        <is>
          <t>ALINGSÅS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45969</v>
      </c>
      <c r="E161" s="1" t="n">
        <v>46237</v>
      </c>
      <c r="F161" t="inlineStr">
        <is>
          <t>VÄSTRA GÖTALANDS LÄN</t>
        </is>
      </c>
      <c r="G161" t="inlineStr">
        <is>
          <t>ALINGSÅS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46237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46237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46237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46237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46237</v>
      </c>
      <c r="F166" t="inlineStr">
        <is>
          <t>VÄSTRA GÖTALANDS LÄN</t>
        </is>
      </c>
      <c r="G166" t="inlineStr">
        <is>
          <t>ALINGSÅS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45177</v>
      </c>
      <c r="E167" s="1" t="n">
        <v>46237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46237</v>
      </c>
      <c r="F168" t="inlineStr">
        <is>
          <t>VÄSTRA GÖTALANDS LÄN</t>
        </is>
      </c>
      <c r="G168" t="inlineStr">
        <is>
          <t>ALINGSÅS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46237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22186-2025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45785</v>
      </c>
      <c r="E170" s="1" t="n">
        <v>46237</v>
      </c>
      <c r="F170" t="inlineStr">
        <is>
          <t>VÄSTRA GÖTALANDS LÄN</t>
        </is>
      </c>
      <c r="G170" t="inlineStr">
        <is>
          <t>ALINGSÅS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45465</v>
      </c>
      <c r="E171" s="1" t="n">
        <v>46237</v>
      </c>
      <c r="F171" t="inlineStr">
        <is>
          <t>VÄSTRA GÖTALANDS LÄN</t>
        </is>
      </c>
      <c r="G171" t="inlineStr">
        <is>
          <t>ALINGSÅS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46237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45412</v>
      </c>
      <c r="E173" s="1" t="n">
        <v>46237</v>
      </c>
      <c r="F173" t="inlineStr">
        <is>
          <t>VÄSTRA GÖTALANDS LÄN</t>
        </is>
      </c>
      <c r="G173" t="inlineStr">
        <is>
          <t>ALINGSÅS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52299-2024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45608</v>
      </c>
      <c r="E174" s="1" t="n">
        <v>46237</v>
      </c>
      <c r="F174" t="inlineStr">
        <is>
          <t>VÄSTRA GÖTALANDS LÄN</t>
        </is>
      </c>
      <c r="G174" t="inlineStr">
        <is>
          <t>ALINGSÅS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46237</v>
      </c>
      <c r="F175" t="inlineStr">
        <is>
          <t>VÄSTRA GÖTALANDS LÄN</t>
        </is>
      </c>
      <c r="G175" t="inlineStr">
        <is>
          <t>ALINGSÅS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46237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46237</v>
      </c>
      <c r="F177" t="inlineStr">
        <is>
          <t>VÄSTRA GÖTALANDS LÄN</t>
        </is>
      </c>
      <c r="G177" t="inlineStr">
        <is>
          <t>ALINGSÅS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46237</v>
      </c>
      <c r="F178" t="inlineStr">
        <is>
          <t>VÄSTRA GÖTALANDS LÄN</t>
        </is>
      </c>
      <c r="G178" t="inlineStr">
        <is>
          <t>ALINGSÅS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46237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46237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46237</v>
      </c>
      <c r="F181" t="inlineStr">
        <is>
          <t>VÄSTRA GÖTALANDS LÄN</t>
        </is>
      </c>
      <c r="G181" t="inlineStr">
        <is>
          <t>ALINGSÅS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45391</v>
      </c>
      <c r="E182" s="1" t="n">
        <v>46237</v>
      </c>
      <c r="F182" t="inlineStr">
        <is>
          <t>VÄSTRA GÖTALANDS LÄN</t>
        </is>
      </c>
      <c r="G182" t="inlineStr">
        <is>
          <t>ALINGSÅS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44816</v>
      </c>
      <c r="E183" s="1" t="n">
        <v>46237</v>
      </c>
      <c r="F183" t="inlineStr">
        <is>
          <t>VÄSTRA GÖTALANDS LÄN</t>
        </is>
      </c>
      <c r="G183" t="inlineStr">
        <is>
          <t>ALINGSÅS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46237</v>
      </c>
      <c r="F184" t="inlineStr">
        <is>
          <t>VÄSTRA GÖTALANDS LÄN</t>
        </is>
      </c>
      <c r="G184" t="inlineStr">
        <is>
          <t>ALINGSÅS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46237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Kyrkan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46237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30478-2023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46237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46237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57450-2024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45630</v>
      </c>
      <c r="E189" s="1" t="n">
        <v>46237</v>
      </c>
      <c r="F189" t="inlineStr">
        <is>
          <t>VÄSTRA GÖTALANDS LÄN</t>
        </is>
      </c>
      <c r="G189" t="inlineStr">
        <is>
          <t>ALINGSÅS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46237</v>
      </c>
      <c r="F190" t="inlineStr">
        <is>
          <t>VÄSTRA GÖTALANDS LÄN</t>
        </is>
      </c>
      <c r="G190" t="inlineStr">
        <is>
          <t>ALINGSÅS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46014</v>
      </c>
      <c r="E191" s="1" t="n">
        <v>46237</v>
      </c>
      <c r="F191" t="inlineStr">
        <is>
          <t>VÄSTRA GÖTALANDS LÄN</t>
        </is>
      </c>
      <c r="G191" t="inlineStr">
        <is>
          <t>ALINGSÅS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46237</v>
      </c>
      <c r="F192" t="inlineStr">
        <is>
          <t>VÄSTRA GÖTALANDS LÄN</t>
        </is>
      </c>
      <c r="G192" t="inlineStr">
        <is>
          <t>ALINGSÅS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46237</v>
      </c>
      <c r="F193" t="inlineStr">
        <is>
          <t>VÄSTRA GÖTALANDS LÄN</t>
        </is>
      </c>
      <c r="G193" t="inlineStr">
        <is>
          <t>ALINGSÅS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46237</v>
      </c>
      <c r="F194" t="inlineStr">
        <is>
          <t>VÄSTRA GÖTALANDS LÄN</t>
        </is>
      </c>
      <c r="G194" t="inlineStr">
        <is>
          <t>ALINGSÅS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44984</v>
      </c>
      <c r="E195" s="1" t="n">
        <v>46237</v>
      </c>
      <c r="F195" t="inlineStr">
        <is>
          <t>VÄSTRA GÖTALANDS LÄN</t>
        </is>
      </c>
      <c r="G195" t="inlineStr">
        <is>
          <t>ALINGSÅS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46237</v>
      </c>
      <c r="F196" t="inlineStr">
        <is>
          <t>VÄSTRA GÖTALANDS LÄN</t>
        </is>
      </c>
      <c r="G196" t="inlineStr">
        <is>
          <t>ALINGSÅS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46237</v>
      </c>
      <c r="F197" t="inlineStr">
        <is>
          <t>VÄSTRA GÖTALANDS LÄN</t>
        </is>
      </c>
      <c r="G197" t="inlineStr">
        <is>
          <t>ALINGSÅS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46237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24995-2026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46237</v>
      </c>
      <c r="F199" t="inlineStr">
        <is>
          <t>VÄSTRA GÖTALANDS LÄN</t>
        </is>
      </c>
      <c r="G199" t="inlineStr">
        <is>
          <t>ALINGSÅS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45257</v>
      </c>
      <c r="E200" s="1" t="n">
        <v>46237</v>
      </c>
      <c r="F200" t="inlineStr">
        <is>
          <t>VÄSTRA GÖTALANDS LÄN</t>
        </is>
      </c>
      <c r="G200" t="inlineStr">
        <is>
          <t>ALINGSÅS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46237</v>
      </c>
      <c r="F201" t="inlineStr">
        <is>
          <t>VÄSTRA GÖTALANDS LÄN</t>
        </is>
      </c>
      <c r="G201" t="inlineStr">
        <is>
          <t>ALINGSÅS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46237</v>
      </c>
      <c r="F202" t="inlineStr">
        <is>
          <t>VÄSTRA GÖTALANDS LÄN</t>
        </is>
      </c>
      <c r="G202" t="inlineStr">
        <is>
          <t>ALINGSÅS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46177</v>
      </c>
      <c r="E203" s="1" t="n">
        <v>46237</v>
      </c>
      <c r="F203" t="inlineStr">
        <is>
          <t>VÄSTRA GÖTALANDS LÄN</t>
        </is>
      </c>
      <c r="G203" t="inlineStr">
        <is>
          <t>ALINGSÅS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46237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46237</v>
      </c>
      <c r="F205" t="inlineStr">
        <is>
          <t>VÄSTRA GÖTALANDS LÄN</t>
        </is>
      </c>
      <c r="G205" t="inlineStr">
        <is>
          <t>ALINGSÅS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25457-2026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46237</v>
      </c>
      <c r="F206" t="inlineStr">
        <is>
          <t>VÄSTRA GÖTALANDS LÄN</t>
        </is>
      </c>
      <c r="G206" t="inlineStr">
        <is>
          <t>ALINGSÅS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46035</v>
      </c>
      <c r="E207" s="1" t="n">
        <v>46237</v>
      </c>
      <c r="F207" t="inlineStr">
        <is>
          <t>VÄSTRA GÖTALANDS LÄN</t>
        </is>
      </c>
      <c r="G207" t="inlineStr">
        <is>
          <t>ALINGSÅS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46237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25343-2026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46176</v>
      </c>
      <c r="E209" s="1" t="n">
        <v>46237</v>
      </c>
      <c r="F209" t="inlineStr">
        <is>
          <t>VÄSTRA GÖTALANDS LÄN</t>
        </is>
      </c>
      <c r="G209" t="inlineStr">
        <is>
          <t>ALINGSÅS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46237</v>
      </c>
      <c r="F210" t="inlineStr">
        <is>
          <t>VÄSTRA GÖTALANDS LÄN</t>
        </is>
      </c>
      <c r="G210" t="inlineStr">
        <is>
          <t>ALINGSÅS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45133</v>
      </c>
      <c r="E211" s="1" t="n">
        <v>46237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46237</v>
      </c>
      <c r="F212" t="inlineStr">
        <is>
          <t>VÄSTRA GÖTALANDS LÄN</t>
        </is>
      </c>
      <c r="G212" t="inlineStr">
        <is>
          <t>ALINGSÅS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46237</v>
      </c>
      <c r="F213" t="inlineStr">
        <is>
          <t>VÄSTRA GÖTALANDS LÄN</t>
        </is>
      </c>
      <c r="G213" t="inlineStr">
        <is>
          <t>ALINGSÅS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46237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46038</v>
      </c>
      <c r="E215" s="1" t="n">
        <v>46237</v>
      </c>
      <c r="F215" t="inlineStr">
        <is>
          <t>VÄSTRA GÖTALANDS LÄN</t>
        </is>
      </c>
      <c r="G215" t="inlineStr">
        <is>
          <t>ALINGSÅS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46237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46038</v>
      </c>
      <c r="E217" s="1" t="n">
        <v>46237</v>
      </c>
      <c r="F217" t="inlineStr">
        <is>
          <t>VÄSTRA GÖTALANDS LÄN</t>
        </is>
      </c>
      <c r="G217" t="inlineStr">
        <is>
          <t>ALINGSÅS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46237</v>
      </c>
      <c r="F218" t="inlineStr">
        <is>
          <t>VÄSTRA GÖTALANDS LÄN</t>
        </is>
      </c>
      <c r="G218" t="inlineStr">
        <is>
          <t>ALINGSÅS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46237</v>
      </c>
      <c r="F219" t="inlineStr">
        <is>
          <t>VÄSTRA GÖTALANDS LÄN</t>
        </is>
      </c>
      <c r="G219" t="inlineStr">
        <is>
          <t>ALINGSÅS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46237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44488</v>
      </c>
      <c r="E221" s="1" t="n">
        <v>46237</v>
      </c>
      <c r="F221" t="inlineStr">
        <is>
          <t>VÄSTRA GÖTALANDS LÄN</t>
        </is>
      </c>
      <c r="G221" t="inlineStr">
        <is>
          <t>ALINGSÅS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46237</v>
      </c>
      <c r="F222" t="inlineStr">
        <is>
          <t>VÄSTRA GÖTALANDS LÄN</t>
        </is>
      </c>
      <c r="G222" t="inlineStr">
        <is>
          <t>ALINGSÅS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46237</v>
      </c>
      <c r="F223" t="inlineStr">
        <is>
          <t>VÄSTRA GÖTALANDS LÄN</t>
        </is>
      </c>
      <c r="G223" t="inlineStr">
        <is>
          <t>ALINGSÅS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44461</v>
      </c>
      <c r="E224" s="1" t="n">
        <v>46237</v>
      </c>
      <c r="F224" t="inlineStr">
        <is>
          <t>VÄSTRA GÖTALANDS LÄN</t>
        </is>
      </c>
      <c r="G224" t="inlineStr">
        <is>
          <t>ALINGSÅS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46237</v>
      </c>
      <c r="F225" t="inlineStr">
        <is>
          <t>VÄSTRA GÖTALANDS LÄN</t>
        </is>
      </c>
      <c r="G225" t="inlineStr">
        <is>
          <t>ALINGSÅS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46237</v>
      </c>
      <c r="F226" t="inlineStr">
        <is>
          <t>VÄSTRA GÖTALANDS LÄN</t>
        </is>
      </c>
      <c r="G226" t="inlineStr">
        <is>
          <t>ALINGSÅS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46237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59303-2024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46237</v>
      </c>
      <c r="F228" t="inlineStr">
        <is>
          <t>VÄSTRA GÖTALANDS LÄN</t>
        </is>
      </c>
      <c r="G228" t="inlineStr">
        <is>
          <t>ALINGSÅS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45323-2024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46237</v>
      </c>
      <c r="F229" t="inlineStr">
        <is>
          <t>VÄSTRA GÖTALANDS LÄN</t>
        </is>
      </c>
      <c r="G229" t="inlineStr">
        <is>
          <t>ALINGSÅS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46237</v>
      </c>
      <c r="F230" t="inlineStr">
        <is>
          <t>VÄSTRA GÖTALANDS LÄN</t>
        </is>
      </c>
      <c r="G230" t="inlineStr">
        <is>
          <t>ALINGSÅS</t>
        </is>
      </c>
      <c r="I230" t="n">
        <v>13.1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44596</v>
      </c>
      <c r="E231" s="1" t="n">
        <v>46237</v>
      </c>
      <c r="F231" t="inlineStr">
        <is>
          <t>VÄSTRA GÖTALANDS LÄN</t>
        </is>
      </c>
      <c r="G231" t="inlineStr">
        <is>
          <t>ALINGSÅS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46237</v>
      </c>
      <c r="F232" t="inlineStr">
        <is>
          <t>VÄSTRA GÖTALANDS LÄN</t>
        </is>
      </c>
      <c r="G232" t="inlineStr">
        <is>
          <t>ALINGSÅS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46237</v>
      </c>
      <c r="F233" t="inlineStr">
        <is>
          <t>VÄSTRA GÖTALANDS LÄN</t>
        </is>
      </c>
      <c r="G233" t="inlineStr">
        <is>
          <t>ALINGSÅS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3172-2022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44582</v>
      </c>
      <c r="E234" s="1" t="n">
        <v>46237</v>
      </c>
      <c r="F234" t="inlineStr">
        <is>
          <t>VÄSTRA GÖTALANDS LÄN</t>
        </is>
      </c>
      <c r="G234" t="inlineStr">
        <is>
          <t>ALINGSÅS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46237</v>
      </c>
      <c r="F235" t="inlineStr">
        <is>
          <t>VÄSTRA GÖTALANDS LÄN</t>
        </is>
      </c>
      <c r="G235" t="inlineStr">
        <is>
          <t>ALINGSÅS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46189</v>
      </c>
      <c r="E236" s="1" t="n">
        <v>46237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31970-2026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46232</v>
      </c>
      <c r="E237" s="1" t="n">
        <v>46237</v>
      </c>
      <c r="F237" t="inlineStr">
        <is>
          <t>VÄSTRA GÖTALANDS LÄN</t>
        </is>
      </c>
      <c r="G237" t="inlineStr">
        <is>
          <t>ALINGSÅS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46237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46237</v>
      </c>
      <c r="F239" t="inlineStr">
        <is>
          <t>VÄSTRA GÖTALANDS LÄN</t>
        </is>
      </c>
      <c r="G239" t="inlineStr">
        <is>
          <t>ALINGSÅS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46191</v>
      </c>
      <c r="E240" s="1" t="n">
        <v>46237</v>
      </c>
      <c r="F240" t="inlineStr">
        <is>
          <t>VÄSTRA GÖTALANDS LÄN</t>
        </is>
      </c>
      <c r="G240" t="inlineStr">
        <is>
          <t>ALINGSÅS</t>
        </is>
      </c>
      <c r="I240" t="n">
        <v>21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46237</v>
      </c>
      <c r="F241" t="inlineStr">
        <is>
          <t>VÄSTRA GÖTALANDS LÄN</t>
        </is>
      </c>
      <c r="G241" t="inlineStr">
        <is>
          <t>ALINGSÅS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46237</v>
      </c>
      <c r="F242" t="inlineStr">
        <is>
          <t>VÄSTRA GÖTALANDS LÄN</t>
        </is>
      </c>
      <c r="G242" t="inlineStr">
        <is>
          <t>ALINGSÅS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46237</v>
      </c>
      <c r="F243" t="inlineStr">
        <is>
          <t>VÄSTRA GÖTALANDS LÄN</t>
        </is>
      </c>
      <c r="G243" t="inlineStr">
        <is>
          <t>ALINGSÅS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50312-2024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46237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45440</v>
      </c>
      <c r="E245" s="1" t="n">
        <v>46237</v>
      </c>
      <c r="F245" t="inlineStr">
        <is>
          <t>VÄSTRA GÖTALANDS LÄN</t>
        </is>
      </c>
      <c r="G245" t="inlineStr">
        <is>
          <t>ALINGSÅS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45371</v>
      </c>
      <c r="E246" s="1" t="n">
        <v>46237</v>
      </c>
      <c r="F246" t="inlineStr">
        <is>
          <t>VÄSTRA GÖTALANDS LÄN</t>
        </is>
      </c>
      <c r="G246" t="inlineStr">
        <is>
          <t>ALINGSÅS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46237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46237</v>
      </c>
      <c r="F248" t="inlineStr">
        <is>
          <t>VÄSTRA GÖTALANDS LÄN</t>
        </is>
      </c>
      <c r="G248" t="inlineStr">
        <is>
          <t>ALINGSÅS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46237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46237</v>
      </c>
      <c r="F250" t="inlineStr">
        <is>
          <t>VÄSTRA GÖTALANDS LÄN</t>
        </is>
      </c>
      <c r="G250" t="inlineStr">
        <is>
          <t>ALINGSÅS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45456</v>
      </c>
      <c r="E251" s="1" t="n">
        <v>46237</v>
      </c>
      <c r="F251" t="inlineStr">
        <is>
          <t>VÄSTRA GÖTALANDS LÄN</t>
        </is>
      </c>
      <c r="G251" t="inlineStr">
        <is>
          <t>ALINGSÅS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46237</v>
      </c>
      <c r="F252" t="inlineStr">
        <is>
          <t>VÄSTRA GÖTALANDS LÄN</t>
        </is>
      </c>
      <c r="G252" t="inlineStr">
        <is>
          <t>ALINGSÅS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46108</v>
      </c>
      <c r="E253" s="1" t="n">
        <v>46237</v>
      </c>
      <c r="F253" t="inlineStr">
        <is>
          <t>VÄSTRA GÖTALANDS LÄN</t>
        </is>
      </c>
      <c r="G253" t="inlineStr">
        <is>
          <t>ALINGSÅS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46237</v>
      </c>
      <c r="F254" t="inlineStr">
        <is>
          <t>VÄSTRA GÖTALANDS LÄN</t>
        </is>
      </c>
      <c r="G254" t="inlineStr">
        <is>
          <t>ALINGSÅS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46237</v>
      </c>
      <c r="F255" t="inlineStr">
        <is>
          <t>VÄSTRA GÖTALANDS LÄN</t>
        </is>
      </c>
      <c r="G255" t="inlineStr">
        <is>
          <t>ALINGSÅS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44727</v>
      </c>
      <c r="E256" s="1" t="n">
        <v>46237</v>
      </c>
      <c r="F256" t="inlineStr">
        <is>
          <t>VÄSTRA GÖTALANDS LÄN</t>
        </is>
      </c>
      <c r="G256" t="inlineStr">
        <is>
          <t>ALINGSÅS</t>
        </is>
      </c>
      <c r="I256" t="n">
        <v>10.4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17654-2026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46237</v>
      </c>
      <c r="F257" t="inlineStr">
        <is>
          <t>VÄSTRA GÖTALANDS LÄN</t>
        </is>
      </c>
      <c r="G257" t="inlineStr">
        <is>
          <t>ALINGSÅS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46237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46122</v>
      </c>
      <c r="E259" s="1" t="n">
        <v>46237</v>
      </c>
      <c r="F259" t="inlineStr">
        <is>
          <t>VÄSTRA GÖTALANDS LÄN</t>
        </is>
      </c>
      <c r="G259" t="inlineStr">
        <is>
          <t>ALINGSÅS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46237</v>
      </c>
      <c r="F260" t="inlineStr">
        <is>
          <t>VÄSTRA GÖTALANDS LÄN</t>
        </is>
      </c>
      <c r="G260" t="inlineStr">
        <is>
          <t>ALINGSÅS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46237</v>
      </c>
      <c r="F261" t="inlineStr">
        <is>
          <t>VÄSTRA GÖTALANDS LÄN</t>
        </is>
      </c>
      <c r="G261" t="inlineStr">
        <is>
          <t>ALINGSÅS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18360-2026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46126</v>
      </c>
      <c r="E262" s="1" t="n">
        <v>46237</v>
      </c>
      <c r="F262" t="inlineStr">
        <is>
          <t>VÄSTRA GÖTALANDS LÄN</t>
        </is>
      </c>
      <c r="G262" t="inlineStr">
        <is>
          <t>ALINGSÅS</t>
        </is>
      </c>
      <c r="H262" t="inlineStr">
        <is>
          <t>Kommuner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45420</v>
      </c>
      <c r="E263" s="1" t="n">
        <v>46237</v>
      </c>
      <c r="F263" t="inlineStr">
        <is>
          <t>VÄSTRA GÖTALANDS LÄN</t>
        </is>
      </c>
      <c r="G263" t="inlineStr">
        <is>
          <t>ALINGSÅS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46237</v>
      </c>
      <c r="F264" t="inlineStr">
        <is>
          <t>VÄSTRA GÖTALANDS LÄN</t>
        </is>
      </c>
      <c r="G264" t="inlineStr">
        <is>
          <t>ALINGSÅS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46131</v>
      </c>
      <c r="E265" s="1" t="n">
        <v>46237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46237</v>
      </c>
      <c r="F266" t="inlineStr">
        <is>
          <t>VÄSTRA GÖTALANDS LÄN</t>
        </is>
      </c>
      <c r="G266" t="inlineStr">
        <is>
          <t>ALINGSÅS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45465</v>
      </c>
      <c r="E267" s="1" t="n">
        <v>46237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46237</v>
      </c>
      <c r="F268" t="inlineStr">
        <is>
          <t>VÄSTRA GÖTALANDS LÄN</t>
        </is>
      </c>
      <c r="G268" t="inlineStr">
        <is>
          <t>ALINGSÅS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45261</v>
      </c>
      <c r="E269" s="1" t="n">
        <v>46237</v>
      </c>
      <c r="F269" t="inlineStr">
        <is>
          <t>VÄSTRA GÖTALANDS LÄN</t>
        </is>
      </c>
      <c r="G269" t="inlineStr">
        <is>
          <t>ALINGSÅS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45258</v>
      </c>
      <c r="E270" s="1" t="n">
        <v>46237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45271</v>
      </c>
      <c r="E271" s="1" t="n">
        <v>46237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2362-2024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45310</v>
      </c>
      <c r="E272" s="1" t="n">
        <v>46237</v>
      </c>
      <c r="F272" t="inlineStr">
        <is>
          <t>VÄSTRA GÖTALANDS LÄN</t>
        </is>
      </c>
      <c r="G272" t="inlineStr">
        <is>
          <t>ALINGSÅS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45265</v>
      </c>
      <c r="E273" s="1" t="n">
        <v>46237</v>
      </c>
      <c r="F273" t="inlineStr">
        <is>
          <t>VÄSTRA GÖTALANDS LÄN</t>
        </is>
      </c>
      <c r="G273" t="inlineStr">
        <is>
          <t>ALINGSÅS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46237</v>
      </c>
      <c r="F274" t="inlineStr">
        <is>
          <t>VÄSTRA GÖTALANDS LÄN</t>
        </is>
      </c>
      <c r="G274" t="inlineStr">
        <is>
          <t>ALINGSÅS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50039-2021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44456</v>
      </c>
      <c r="E275" s="1" t="n">
        <v>46237</v>
      </c>
      <c r="F275" t="inlineStr">
        <is>
          <t>VÄSTRA GÖTALANDS LÄN</t>
        </is>
      </c>
      <c r="G275" t="inlineStr">
        <is>
          <t>ALINGSÅS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46237</v>
      </c>
      <c r="F276" t="inlineStr">
        <is>
          <t>VÄSTRA GÖTALANDS LÄN</t>
        </is>
      </c>
      <c r="G276" t="inlineStr">
        <is>
          <t>ALINGSÅS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25141-2022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44729</v>
      </c>
      <c r="E277" s="1" t="n">
        <v>46237</v>
      </c>
      <c r="F277" t="inlineStr">
        <is>
          <t>VÄSTRA GÖTALANDS LÄN</t>
        </is>
      </c>
      <c r="G277" t="inlineStr">
        <is>
          <t>ALINGSÅS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46237</v>
      </c>
      <c r="F278" t="inlineStr">
        <is>
          <t>VÄSTRA GÖTALANDS LÄN</t>
        </is>
      </c>
      <c r="G278" t="inlineStr">
        <is>
          <t>ALINGSÅS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46237</v>
      </c>
      <c r="F279" t="inlineStr">
        <is>
          <t>VÄSTRA GÖTALANDS LÄN</t>
        </is>
      </c>
      <c r="G279" t="inlineStr">
        <is>
          <t>ALINGSÅS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46237</v>
      </c>
      <c r="F280" t="inlineStr">
        <is>
          <t>VÄSTRA GÖTALANDS LÄN</t>
        </is>
      </c>
      <c r="G280" t="inlineStr">
        <is>
          <t>ALINGSÅS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46237</v>
      </c>
      <c r="F281" t="inlineStr">
        <is>
          <t>VÄSTRA GÖTALANDS LÄN</t>
        </is>
      </c>
      <c r="G281" t="inlineStr">
        <is>
          <t>ALINGSÅS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40293-2022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44821</v>
      </c>
      <c r="E282" s="1" t="n">
        <v>46237</v>
      </c>
      <c r="F282" t="inlineStr">
        <is>
          <t>VÄSTRA GÖTALANDS LÄN</t>
        </is>
      </c>
      <c r="G282" t="inlineStr">
        <is>
          <t>ALINGSÅS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46237</v>
      </c>
      <c r="F283" t="inlineStr">
        <is>
          <t>VÄSTRA GÖTALANDS LÄN</t>
        </is>
      </c>
      <c r="G283" t="inlineStr">
        <is>
          <t>ALINGSÅS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46237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46237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60026-2023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46237</v>
      </c>
      <c r="F286" t="inlineStr">
        <is>
          <t>VÄSTRA GÖTALANDS LÄN</t>
        </is>
      </c>
      <c r="G286" t="inlineStr">
        <is>
          <t>ALINGSÅS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46237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45804</v>
      </c>
      <c r="E288" s="1" t="n">
        <v>46237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46237</v>
      </c>
      <c r="F289" t="inlineStr">
        <is>
          <t>VÄSTRA GÖTALANDS LÄN</t>
        </is>
      </c>
      <c r="G289" t="inlineStr">
        <is>
          <t>ALINGSÅS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46237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45805</v>
      </c>
      <c r="E291" s="1" t="n">
        <v>46237</v>
      </c>
      <c r="F291" t="inlineStr">
        <is>
          <t>VÄSTRA GÖTALANDS LÄN</t>
        </is>
      </c>
      <c r="G291" t="inlineStr">
        <is>
          <t>ALINGSÅS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46237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46237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46237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46237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46237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46237</v>
      </c>
      <c r="F297" t="inlineStr">
        <is>
          <t>VÄSTRA GÖTALANDS LÄN</t>
        </is>
      </c>
      <c r="G297" t="inlineStr">
        <is>
          <t>ALINGSÅS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45721</v>
      </c>
      <c r="E298" s="1" t="n">
        <v>46237</v>
      </c>
      <c r="F298" t="inlineStr">
        <is>
          <t>VÄSTRA GÖTALANDS LÄN</t>
        </is>
      </c>
      <c r="G298" t="inlineStr">
        <is>
          <t>ALINGSÅS</t>
        </is>
      </c>
      <c r="H298" t="inlineStr">
        <is>
          <t>Kyrkan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9851-2025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46237</v>
      </c>
      <c r="F299" t="inlineStr">
        <is>
          <t>VÄSTRA GÖTALANDS LÄN</t>
        </is>
      </c>
      <c r="G299" t="inlineStr">
        <is>
          <t>ALINGSÅS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46237</v>
      </c>
      <c r="F300" t="inlineStr">
        <is>
          <t>VÄSTRA GÖTALANDS LÄN</t>
        </is>
      </c>
      <c r="G300" t="inlineStr">
        <is>
          <t>ALINGSÅS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46237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46237</v>
      </c>
      <c r="F302" t="inlineStr">
        <is>
          <t>VÄSTRA GÖTALANDS LÄN</t>
        </is>
      </c>
      <c r="G302" t="inlineStr">
        <is>
          <t>ALINGSÅS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19553-2024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45429</v>
      </c>
      <c r="E303" s="1" t="n">
        <v>46237</v>
      </c>
      <c r="F303" t="inlineStr">
        <is>
          <t>VÄSTRA GÖTALANDS LÄN</t>
        </is>
      </c>
      <c r="G303" t="inlineStr">
        <is>
          <t>ALINGSÅS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46237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46237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45850</v>
      </c>
      <c r="E306" s="1" t="n">
        <v>46237</v>
      </c>
      <c r="F306" t="inlineStr">
        <is>
          <t>VÄSTRA GÖTALANDS LÄN</t>
        </is>
      </c>
      <c r="G306" t="inlineStr">
        <is>
          <t>ALINGSÅS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46237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46237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46237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46237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46237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46237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46237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46237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46237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46237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46237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2026-08-03T01:58:17Z</dcterms:created>
  <dcterms:modified xmlns:dcterms="http://purl.org/dc/terms/" xmlns:xsi="http://www.w3.org/2001/XMLSchema-instance" xsi:type="dcterms:W3CDTF">2026-08-03T01:58:18Z</dcterms:modified>
</cp:coreProperties>
</file>