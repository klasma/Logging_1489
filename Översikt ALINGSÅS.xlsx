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45572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45572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45572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45572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50910-2019</t>
        </is>
      </c>
      <c r="B8" s="1" t="n">
        <v>43738</v>
      </c>
      <c r="C8" s="1" t="n">
        <v>45572</v>
      </c>
      <c r="D8" t="inlineStr">
        <is>
          <t>VÄSTRA GÖTALANDS LÄN</t>
        </is>
      </c>
      <c r="E8" t="inlineStr">
        <is>
          <t>ALINGSÅS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Lönnlav</t>
        </is>
      </c>
      <c r="S8">
        <f>HYPERLINK("https://klasma.github.io/Logging_1489/artfynd/A 50910-2019 artfynd.xlsx", "A 50910-2019")</f>
        <v/>
      </c>
      <c r="T8">
        <f>HYPERLINK("https://klasma.github.io/Logging_1489/kartor/A 50910-2019 karta.png", "A 50910-2019")</f>
        <v/>
      </c>
      <c r="V8">
        <f>HYPERLINK("https://klasma.github.io/Logging_1489/klagomål/A 50910-2019 FSC-klagomål.docx", "A 50910-2019")</f>
        <v/>
      </c>
      <c r="W8">
        <f>HYPERLINK("https://klasma.github.io/Logging_1489/klagomålsmail/A 50910-2019 FSC-klagomål mail.docx", "A 50910-2019")</f>
        <v/>
      </c>
      <c r="X8">
        <f>HYPERLINK("https://klasma.github.io/Logging_1489/tillsyn/A 50910-2019 tillsynsbegäran.docx", "A 50910-2019")</f>
        <v/>
      </c>
      <c r="Y8">
        <f>HYPERLINK("https://klasma.github.io/Logging_1489/tillsynsmail/A 50910-2019 tillsynsbegäran mail.docx", "A 50910-2019")</f>
        <v/>
      </c>
    </row>
    <row r="9" ht="15" customHeight="1">
      <c r="A9" t="inlineStr">
        <is>
          <t>A 58206-2019</t>
        </is>
      </c>
      <c r="B9" s="1" t="n">
        <v>43770</v>
      </c>
      <c r="C9" s="1" t="n">
        <v>45572</v>
      </c>
      <c r="D9" t="inlineStr">
        <is>
          <t>VÄSTRA GÖTALANDS LÄN</t>
        </is>
      </c>
      <c r="E9" t="inlineStr">
        <is>
          <t>ALINGSÅS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vattensalamander
Vanlig groda</t>
        </is>
      </c>
      <c r="S9">
        <f>HYPERLINK("https://klasma.github.io/Logging_1489/artfynd/A 58206-2019 artfynd.xlsx", "A 58206-2019")</f>
        <v/>
      </c>
      <c r="T9">
        <f>HYPERLINK("https://klasma.github.io/Logging_1489/kartor/A 58206-2019 karta.png", "A 58206-2019")</f>
        <v/>
      </c>
      <c r="V9">
        <f>HYPERLINK("https://klasma.github.io/Logging_1489/klagomål/A 58206-2019 FSC-klagomål.docx", "A 58206-2019")</f>
        <v/>
      </c>
      <c r="W9">
        <f>HYPERLINK("https://klasma.github.io/Logging_1489/klagomålsmail/A 58206-2019 FSC-klagomål mail.docx", "A 58206-2019")</f>
        <v/>
      </c>
      <c r="X9">
        <f>HYPERLINK("https://klasma.github.io/Logging_1489/tillsyn/A 58206-2019 tillsynsbegäran.docx", "A 58206-2019")</f>
        <v/>
      </c>
      <c r="Y9">
        <f>HYPERLINK("https://klasma.github.io/Logging_1489/tillsynsmail/A 58206-2019 tillsynsbegäran mail.docx", "A 58206-2019")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45572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45572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45572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45572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45572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45572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45572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45572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45572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45572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45572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45572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45572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45572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45572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45572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45572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45572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45572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45572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45572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45572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45572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45572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45572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45572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45572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45572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45572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45572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45572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45572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45572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45572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45572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45572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45572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45572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45572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45572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45572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45572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45572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45572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45572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45572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45572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45572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45572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45572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45572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45572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45572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45572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45572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45572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45572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45572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45572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45572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45572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45572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45572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45572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45572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45572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45572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45572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45572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45572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45572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45572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45572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45572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45572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45572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45572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45572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45572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45572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45572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45572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45572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45572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45572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45572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45572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45572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45572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45572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45572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45572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45572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45572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45572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45572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45572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45572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45572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45572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45572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45572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45572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45572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45572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45572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45572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45572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45572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45572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45572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45572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45572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45572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45572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45572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45572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45572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45572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45572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45572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45572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45572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45572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45572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45572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45572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45572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45572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45572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45572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45572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45572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45572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45572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45572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45572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45572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45572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45572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45572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45572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45572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45572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45572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45572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45572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45572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45572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45572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45572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45572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45572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45572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45572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45572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45572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45572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45572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45572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45572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45572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45572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45572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45572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45572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45572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45572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45572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45572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45572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45572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45572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45572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45572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45572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45572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45572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45572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45572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45572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45572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45572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45572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45572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45572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45572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45572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45572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45572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45572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45572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45572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45572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45572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45572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45572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45572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45572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45572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45572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45572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45572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45572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45572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45572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45572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45572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45572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45572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45572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45572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45572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45572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45572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45572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45572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45572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45572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45572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45572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45572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45572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45572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45572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45572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45572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45572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45572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45572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45572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45572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45572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45572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45572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45572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45572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45572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45572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45572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45572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45572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45572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45572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45572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45572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45572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45572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45572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45572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45572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45572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45572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45572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45572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45572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45572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45572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45572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45572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45572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45572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45572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45572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45572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45572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45572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45572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45572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45572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45572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45572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45572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45572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45572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45572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45572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45572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45572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45572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45572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45572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45572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45572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45572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45572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45572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45572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45572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45572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45572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45572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45572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45572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45572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45572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45572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45572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45572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45572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45572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45572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45572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45572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45572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45572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45572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45572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45572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45572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45572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45572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45572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45572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45572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45572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45572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45572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45572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45572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45572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45572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45572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45572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45572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45572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45572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45572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45572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45572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45572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45572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45572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45572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45572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45572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45572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45572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45572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45572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45572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45572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45572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45572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45572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45572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45572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45572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45572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45572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45572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45572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45572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45572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45572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45572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45572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45572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45572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45572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45572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45572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45572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45572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45572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45572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45572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45572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45572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45572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45572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45572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45572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45572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45572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45572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45572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45572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45572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45572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45572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45572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45572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45572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45572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45572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45572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45572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45572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45572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45572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45572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45572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45572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45572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45572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45572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45572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45572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45572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45572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45572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45572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45572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45572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45572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45572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45572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45572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45572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45572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45572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45572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45572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45572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45572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45572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45572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45572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45572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45572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45572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45572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45572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45572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45572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45572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45572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45572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45572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45572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45572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45572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45572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45572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45572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45572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45572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45572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45572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45572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45572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45572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45572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45572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45572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45572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45572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45572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45572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38655-2024</t>
        </is>
      </c>
      <c r="B460" s="1" t="n">
        <v>45547</v>
      </c>
      <c r="C460" s="1" t="n">
        <v>45572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43435-2024</t>
        </is>
      </c>
      <c r="B461" s="1" t="n">
        <v>45568</v>
      </c>
      <c r="C461" s="1" t="n">
        <v>45572</v>
      </c>
      <c r="D461" t="inlineStr">
        <is>
          <t>VÄSTRA GÖTALANDS LÄN</t>
        </is>
      </c>
      <c r="E461" t="inlineStr">
        <is>
          <t>ALINGSÅS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43477-2024</t>
        </is>
      </c>
      <c r="B462" s="1" t="n">
        <v>45568</v>
      </c>
      <c r="C462" s="1" t="n">
        <v>45572</v>
      </c>
      <c r="D462" t="inlineStr">
        <is>
          <t>VÄSTRA GÖTALANDS LÄN</t>
        </is>
      </c>
      <c r="E462" t="inlineStr">
        <is>
          <t>ALINGSÅS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43741-2024</t>
        </is>
      </c>
      <c r="B463" s="1" t="n">
        <v>45569</v>
      </c>
      <c r="C463" s="1" t="n">
        <v>45572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2024-10-07T12:51:33Z</dcterms:created>
  <dcterms:modified xmlns:dcterms="http://purl.org/dc/terms/" xmlns:xsi="http://www.w3.org/2001/XMLSchema-instance" xsi:type="dcterms:W3CDTF">2024-10-07T12:51:34Z</dcterms:modified>
</cp:coreProperties>
</file>