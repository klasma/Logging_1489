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46302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46302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46302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46302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46302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46302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56053-2023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46302</v>
      </c>
      <c r="F18" t="inlineStr">
        <is>
          <t>VÄSTRA GÖTALANDS LÄN</t>
        </is>
      </c>
      <c r="G18" t="inlineStr">
        <is>
          <t>ALINGSÅS</t>
        </is>
      </c>
      <c r="I18" t="n">
        <v>3.2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7</v>
      </c>
      <c r="U18" t="n">
        <v>5</v>
      </c>
      <c r="V18" s="2" t="inlineStr">
        <is>
          <t>Jungfrulin
Orange taggsvamp
Vanlig groda</t>
        </is>
      </c>
      <c r="W18">
        <f>HYPERLINK("https://klasma.github.io/Logging_1489/artfynd/A 56053-2023 artfynd.xlsx", "A 56053-2023")</f>
        <v/>
      </c>
      <c r="X18">
        <f>HYPERLINK("https://klasma.github.io/Logging_1489/kartor/A 56053-2023 karta.png", "A 56053-2023")</f>
        <v/>
      </c>
      <c r="Y18">
        <f>HYPERLINK("https://klasma.github.io/Logging_1489/kartor_geotiff/A 56053-2023 georefererad karta.tif", "A 56053-2023")</f>
        <v/>
      </c>
      <c r="AA18">
        <f>HYPERLINK("https://klasma.github.io/Logging_1489/klagomål/A 56053-2023 FSC-klagomål.docx", "A 56053-2023")</f>
        <v/>
      </c>
      <c r="AB18">
        <f>HYPERLINK("https://klasma.github.io/Logging_1489/klagomålsmail/A 56053-2023 FSC-klagomål mail.docx", "A 56053-2023")</f>
        <v/>
      </c>
      <c r="AC18">
        <f>HYPERLINK("https://klasma.github.io/Logging_1489/tillsyn/A 56053-2023 tillsynsbegäran.docx", "A 56053-2023")</f>
        <v/>
      </c>
      <c r="AD18">
        <f>HYPERLINK("https://klasma.github.io/Logging_1489/tillsynsmail/A 56053-2023 tillsynsbegäran mail.docx", "A 56053-2023")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46302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21662-2024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45442</v>
      </c>
      <c r="E20" s="1" t="n">
        <v>46302</v>
      </c>
      <c r="F20" t="inlineStr">
        <is>
          <t>VÄSTRA GÖTALANDS LÄN</t>
        </is>
      </c>
      <c r="G20" t="inlineStr">
        <is>
          <t>ALINGSÅS</t>
        </is>
      </c>
      <c r="I20" t="n">
        <v>6.2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Göktyta
Törnskata
Ärtsångare</t>
        </is>
      </c>
      <c r="W20">
        <f>HYPERLINK("https://klasma.github.io/Logging_1489/artfynd/A 21662-2024 artfynd.xlsx", "A 21662-2024")</f>
        <v/>
      </c>
      <c r="X20">
        <f>HYPERLINK("https://klasma.github.io/Logging_1489/kartor/A 21662-2024 karta.png", "A 21662-2024")</f>
        <v/>
      </c>
      <c r="Y20">
        <f>HYPERLINK("https://klasma.github.io/Logging_1489/kartor_geotiff/A 21662-2024 georefererad karta.tif", "A 21662-2024")</f>
        <v/>
      </c>
      <c r="AA20">
        <f>HYPERLINK("https://klasma.github.io/Logging_1489/klagomål/A 21662-2024 FSC-klagomål.docx", "A 21662-2024")</f>
        <v/>
      </c>
      <c r="AB20">
        <f>HYPERLINK("https://klasma.github.io/Logging_1489/klagomålsmail/A 21662-2024 FSC-klagomål mail.docx", "A 21662-2024")</f>
        <v/>
      </c>
      <c r="AC20">
        <f>HYPERLINK("https://klasma.github.io/Logging_1489/tillsyn/A 21662-2024 tillsynsbegäran.docx", "A 21662-2024")</f>
        <v/>
      </c>
      <c r="AD20">
        <f>HYPERLINK("https://klasma.github.io/Logging_1489/tillsynsmail/A 21662-2024 tillsynsbegäran mail.docx", "A 21662-2024")</f>
        <v/>
      </c>
      <c r="AE20">
        <f>HYPERLINK("https://klasma.github.io/Logging_1489/fåglar/A 21662-2024 prioriterade fågelarter.docx", "A 21662-2024")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46302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46302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46302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46302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46302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46302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10542-2024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45366</v>
      </c>
      <c r="E27" s="1" t="n">
        <v>46302</v>
      </c>
      <c r="F27" t="inlineStr">
        <is>
          <t>VÄSTRA GÖTALANDS LÄN</t>
        </is>
      </c>
      <c r="G27" t="inlineStr">
        <is>
          <t>ALINGSÅS</t>
        </is>
      </c>
      <c r="I27" t="n">
        <v>2.6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HYPERLINK("https://klasma.github.io/Logging_1489/artfynd/A 10542-2024 artfynd.xlsx", "A 10542-2024")</f>
        <v/>
      </c>
      <c r="X27">
        <f>HYPERLINK("https://klasma.github.io/Logging_1489/kartor/A 10542-2024 karta.png", "A 10542-2024")</f>
        <v/>
      </c>
      <c r="Y27">
        <f>HYPERLINK("https://klasma.github.io/Logging_1489/kartor_geotiff/A 10542-2024 georefererad karta.tif", "A 10542-2024")</f>
        <v/>
      </c>
      <c r="AA27">
        <f>HYPERLINK("https://klasma.github.io/Logging_1489/klagomål/A 10542-2024 FSC-klagomål.docx", "A 10542-2024")</f>
        <v/>
      </c>
      <c r="AB27">
        <f>HYPERLINK("https://klasma.github.io/Logging_1489/klagomålsmail/A 10542-2024 FSC-klagomål mail.docx", "A 10542-2024")</f>
        <v/>
      </c>
      <c r="AC27">
        <f>HYPERLINK("https://klasma.github.io/Logging_1489/tillsyn/A 10542-2024 tillsynsbegäran.docx", "A 10542-2024")</f>
        <v/>
      </c>
      <c r="AD27">
        <f>HYPERLINK("https://klasma.github.io/Logging_1489/tillsynsmail/A 10542-2024 tillsynsbegäran mail.docx", "A 10542-2024")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46302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46302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39240-2025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45889</v>
      </c>
      <c r="E30" s="1" t="n">
        <v>46302</v>
      </c>
      <c r="F30" t="inlineStr">
        <is>
          <t>VÄSTRA GÖTALANDS LÄN</t>
        </is>
      </c>
      <c r="G30" t="inlineStr">
        <is>
          <t>ALINGSÅS</t>
        </is>
      </c>
      <c r="I30" t="n">
        <v>4.8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1</v>
      </c>
      <c r="V30" s="2" t="inlineStr">
        <is>
          <t>Knärot</t>
        </is>
      </c>
      <c r="W30">
        <f>HYPERLINK("https://klasma.github.io/Logging_1489/artfynd/A 39240-2025 artfynd.xlsx", "A 39240-2025")</f>
        <v/>
      </c>
      <c r="X30">
        <f>HYPERLINK("https://klasma.github.io/Logging_1489/kartor/A 39240-2025 karta.png", "A 39240-2025")</f>
        <v/>
      </c>
      <c r="Y30">
        <f>HYPERLINK("https://klasma.github.io/Logging_1489/kartor_geotiff/A 39240-2025 georefererad karta.tif", "A 39240-2025")</f>
        <v/>
      </c>
      <c r="Z30">
        <f>HYPERLINK("https://klasma.github.io/Logging_1489/knärot/A 39240-2025 karta knärot.png", "A 39240-2025")</f>
        <v/>
      </c>
      <c r="AA30">
        <f>HYPERLINK("https://klasma.github.io/Logging_1489/klagomål/A 39240-2025 FSC-klagomål.docx", "A 39240-2025")</f>
        <v/>
      </c>
      <c r="AB30">
        <f>HYPERLINK("https://klasma.github.io/Logging_1489/klagomålsmail/A 39240-2025 FSC-klagomål mail.docx", "A 39240-2025")</f>
        <v/>
      </c>
      <c r="AC30">
        <f>HYPERLINK("https://klasma.github.io/Logging_1489/tillsyn/A 39240-2025 tillsynsbegäran.docx", "A 39240-2025")</f>
        <v/>
      </c>
      <c r="AD30">
        <f>HYPERLINK("https://klasma.github.io/Logging_1489/tillsynsmail/A 39240-2025 tillsynsbegäran mail.docx", "A 39240-2025")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46302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46302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46302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46302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46302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46302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46302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46302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46302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46302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46302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46302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46302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46302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46302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46302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46302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46302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46302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46302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46302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46302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46302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46302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46302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46302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46302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46302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46302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46302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46302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46302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46302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46302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46302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46302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46302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46302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46302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46302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46302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46302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46302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46302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46302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46302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46302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46302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46302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46302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46302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46302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46302</v>
      </c>
      <c r="F85" t="inlineStr">
        <is>
          <t>VÄSTRA GÖTALANDS LÄN</t>
        </is>
      </c>
      <c r="G85" t="inlineStr">
        <is>
          <t>ALINGSÅS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46302</v>
      </c>
      <c r="F86" t="inlineStr">
        <is>
          <t>VÄSTRA GÖTALANDS LÄN</t>
        </is>
      </c>
      <c r="G86" t="inlineStr">
        <is>
          <t>ALINGSÅS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46302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45782</v>
      </c>
      <c r="E88" s="1" t="n">
        <v>46302</v>
      </c>
      <c r="F88" t="inlineStr">
        <is>
          <t>VÄSTRA GÖTALANDS LÄN</t>
        </is>
      </c>
      <c r="G88" t="inlineStr">
        <is>
          <t>ALINGSÅS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46302</v>
      </c>
      <c r="F89" t="inlineStr">
        <is>
          <t>VÄSTRA GÖTALANDS LÄN</t>
        </is>
      </c>
      <c r="G89" t="inlineStr">
        <is>
          <t>ALINGSÅS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46302</v>
      </c>
      <c r="F90" t="inlineStr">
        <is>
          <t>VÄSTRA GÖTALANDS LÄN</t>
        </is>
      </c>
      <c r="G90" t="inlineStr">
        <is>
          <t>ALINGSÅS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46302</v>
      </c>
      <c r="F91" t="inlineStr">
        <is>
          <t>VÄSTRA GÖTALANDS LÄN</t>
        </is>
      </c>
      <c r="G91" t="inlineStr">
        <is>
          <t>ALINGSÅS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46302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46302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46302</v>
      </c>
      <c r="F94" t="inlineStr">
        <is>
          <t>VÄSTRA GÖTALANDS LÄN</t>
        </is>
      </c>
      <c r="G94" t="inlineStr">
        <is>
          <t>ALINGSÅS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11024-2023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46302</v>
      </c>
      <c r="F95" t="inlineStr">
        <is>
          <t>VÄSTRA GÖTALANDS LÄN</t>
        </is>
      </c>
      <c r="G95" t="inlineStr">
        <is>
          <t>ALINGSÅS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46302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46302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46302</v>
      </c>
      <c r="F98" t="inlineStr">
        <is>
          <t>VÄSTRA GÖTALANDS LÄN</t>
        </is>
      </c>
      <c r="G98" t="inlineStr">
        <is>
          <t>ALINGSÅS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46302</v>
      </c>
      <c r="F99" t="inlineStr">
        <is>
          <t>VÄSTRA GÖTALANDS LÄN</t>
        </is>
      </c>
      <c r="G99" t="inlineStr">
        <is>
          <t>ALINGSÅS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46302</v>
      </c>
      <c r="F100" t="inlineStr">
        <is>
          <t>VÄSTRA GÖTALANDS LÄN</t>
        </is>
      </c>
      <c r="G100" t="inlineStr">
        <is>
          <t>ALINGSÅS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46302</v>
      </c>
      <c r="F101" t="inlineStr">
        <is>
          <t>VÄSTRA GÖTALANDS LÄN</t>
        </is>
      </c>
      <c r="G101" t="inlineStr">
        <is>
          <t>ALINGSÅS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46302</v>
      </c>
      <c r="F102" t="inlineStr">
        <is>
          <t>VÄSTRA GÖTALANDS LÄN</t>
        </is>
      </c>
      <c r="G102" t="inlineStr">
        <is>
          <t>ALINGSÅS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46302</v>
      </c>
      <c r="F103" t="inlineStr">
        <is>
          <t>VÄSTRA GÖTALANDS LÄN</t>
        </is>
      </c>
      <c r="G103" t="inlineStr">
        <is>
          <t>ALINGSÅS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54579-2024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45617</v>
      </c>
      <c r="E104" s="1" t="n">
        <v>46302</v>
      </c>
      <c r="F104" t="inlineStr">
        <is>
          <t>VÄSTRA GÖTALANDS LÄN</t>
        </is>
      </c>
      <c r="G104" t="inlineStr">
        <is>
          <t>ALINGSÅS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46302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12968-2025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46302</v>
      </c>
      <c r="F106" t="inlineStr">
        <is>
          <t>VÄSTRA GÖTALANDS LÄN</t>
        </is>
      </c>
      <c r="G106" t="inlineStr">
        <is>
          <t>ALINGSÅS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46302</v>
      </c>
      <c r="F107" t="inlineStr">
        <is>
          <t>VÄSTRA GÖTALANDS LÄN</t>
        </is>
      </c>
      <c r="G107" t="inlineStr">
        <is>
          <t>ALINGSÅS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58558-2021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46302</v>
      </c>
      <c r="F108" t="inlineStr">
        <is>
          <t>VÄSTRA GÖTALANDS LÄN</t>
        </is>
      </c>
      <c r="G108" t="inlineStr">
        <is>
          <t>ALINGSÅS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46302</v>
      </c>
      <c r="F109" t="inlineStr">
        <is>
          <t>VÄSTRA GÖTALANDS LÄN</t>
        </is>
      </c>
      <c r="G109" t="inlineStr">
        <is>
          <t>ALINGSÅS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46302</v>
      </c>
      <c r="F110" t="inlineStr">
        <is>
          <t>VÄSTRA GÖTALANDS LÄN</t>
        </is>
      </c>
      <c r="G110" t="inlineStr">
        <is>
          <t>ALINGSÅS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46302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46302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45687</v>
      </c>
      <c r="E113" s="1" t="n">
        <v>46302</v>
      </c>
      <c r="F113" t="inlineStr">
        <is>
          <t>VÄSTRA GÖTALANDS LÄN</t>
        </is>
      </c>
      <c r="G113" t="inlineStr">
        <is>
          <t>ALINGSÅS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46302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42710-2025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46302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46302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46302</v>
      </c>
      <c r="F117" t="inlineStr">
        <is>
          <t>VÄSTRA GÖTALANDS LÄN</t>
        </is>
      </c>
      <c r="G117" t="inlineStr">
        <is>
          <t>ALINGSÅS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46302</v>
      </c>
      <c r="F118" t="inlineStr">
        <is>
          <t>VÄSTRA GÖTALANDS LÄN</t>
        </is>
      </c>
      <c r="G118" t="inlineStr">
        <is>
          <t>ALINGSÅS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46302</v>
      </c>
      <c r="F119" t="inlineStr">
        <is>
          <t>VÄSTRA GÖTALANDS LÄN</t>
        </is>
      </c>
      <c r="G119" t="inlineStr">
        <is>
          <t>ALINGSÅS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46302</v>
      </c>
      <c r="F120" t="inlineStr">
        <is>
          <t>VÄSTRA GÖTALANDS LÄN</t>
        </is>
      </c>
      <c r="G120" t="inlineStr">
        <is>
          <t>ALINGSÅS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46302</v>
      </c>
      <c r="F121" t="inlineStr">
        <is>
          <t>VÄSTRA GÖTALANDS LÄN</t>
        </is>
      </c>
      <c r="G121" t="inlineStr">
        <is>
          <t>ALINGSÅS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46302</v>
      </c>
      <c r="F122" t="inlineStr">
        <is>
          <t>VÄSTRA GÖTALANDS LÄN</t>
        </is>
      </c>
      <c r="G122" t="inlineStr">
        <is>
          <t>ALINGSÅS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46302</v>
      </c>
      <c r="F123" t="inlineStr">
        <is>
          <t>VÄSTRA GÖTALANDS LÄN</t>
        </is>
      </c>
      <c r="G123" t="inlineStr">
        <is>
          <t>ALINGSÅS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46302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Kyrkan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46302</v>
      </c>
      <c r="F125" t="inlineStr">
        <is>
          <t>VÄSTRA GÖTALANDS LÄN</t>
        </is>
      </c>
      <c r="G125" t="inlineStr">
        <is>
          <t>ALINGSÅS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46302</v>
      </c>
      <c r="F126" t="inlineStr">
        <is>
          <t>VÄSTRA GÖTALANDS LÄN</t>
        </is>
      </c>
      <c r="G126" t="inlineStr">
        <is>
          <t>ALINGSÅS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46302</v>
      </c>
      <c r="F127" t="inlineStr">
        <is>
          <t>VÄSTRA GÖTALANDS LÄN</t>
        </is>
      </c>
      <c r="G127" t="inlineStr">
        <is>
          <t>ALINGSÅS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46302</v>
      </c>
      <c r="F128" t="inlineStr">
        <is>
          <t>VÄSTRA GÖTALANDS LÄN</t>
        </is>
      </c>
      <c r="G128" t="inlineStr">
        <is>
          <t>ALINGSÅS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44505</v>
      </c>
      <c r="E129" s="1" t="n">
        <v>46302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46302</v>
      </c>
      <c r="F130" t="inlineStr">
        <is>
          <t>VÄSTRA GÖTALANDS LÄN</t>
        </is>
      </c>
      <c r="G130" t="inlineStr">
        <is>
          <t>ALINGSÅS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46302</v>
      </c>
      <c r="F131" t="inlineStr">
        <is>
          <t>VÄSTRA GÖTALANDS LÄN</t>
        </is>
      </c>
      <c r="G131" t="inlineStr">
        <is>
          <t>ALINGSÅS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46086</v>
      </c>
      <c r="E132" s="1" t="n">
        <v>46302</v>
      </c>
      <c r="F132" t="inlineStr">
        <is>
          <t>VÄSTRA GÖTALANDS LÄN</t>
        </is>
      </c>
      <c r="G132" t="inlineStr">
        <is>
          <t>ALINGSÅS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46302</v>
      </c>
      <c r="F133" t="inlineStr">
        <is>
          <t>VÄSTRA GÖTALANDS LÄN</t>
        </is>
      </c>
      <c r="G133" t="inlineStr">
        <is>
          <t>ALINGSÅS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46302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45230</v>
      </c>
      <c r="E135" s="1" t="n">
        <v>46302</v>
      </c>
      <c r="F135" t="inlineStr">
        <is>
          <t>VÄSTRA GÖTALANDS LÄN</t>
        </is>
      </c>
      <c r="G135" t="inlineStr">
        <is>
          <t>ALINGSÅS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44727</v>
      </c>
      <c r="E136" s="1" t="n">
        <v>46302</v>
      </c>
      <c r="F136" t="inlineStr">
        <is>
          <t>VÄSTRA GÖTALANDS LÄN</t>
        </is>
      </c>
      <c r="G136" t="inlineStr">
        <is>
          <t>ALINGSÅS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46302</v>
      </c>
      <c r="F137" t="inlineStr">
        <is>
          <t>VÄSTRA GÖTALANDS LÄN</t>
        </is>
      </c>
      <c r="G137" t="inlineStr">
        <is>
          <t>ALINGSÅS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64194-2023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45279</v>
      </c>
      <c r="E138" s="1" t="n">
        <v>46302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46302</v>
      </c>
      <c r="F139" t="inlineStr">
        <is>
          <t>VÄSTRA GÖTALANDS LÄN</t>
        </is>
      </c>
      <c r="G139" t="inlineStr">
        <is>
          <t>ALINGSÅS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44672</v>
      </c>
      <c r="E140" s="1" t="n">
        <v>46302</v>
      </c>
      <c r="F140" t="inlineStr">
        <is>
          <t>VÄSTRA GÖTALANDS LÄN</t>
        </is>
      </c>
      <c r="G140" t="inlineStr">
        <is>
          <t>ALINGSÅS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45279</v>
      </c>
      <c r="E141" s="1" t="n">
        <v>46302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46302</v>
      </c>
      <c r="F142" t="inlineStr">
        <is>
          <t>VÄSTRA GÖTALANDS LÄN</t>
        </is>
      </c>
      <c r="G142" t="inlineStr">
        <is>
          <t>ALINGSÅS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32286-2024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45512</v>
      </c>
      <c r="E143" s="1" t="n">
        <v>46302</v>
      </c>
      <c r="F143" t="inlineStr">
        <is>
          <t>VÄSTRA GÖTALANDS LÄN</t>
        </is>
      </c>
      <c r="G143" t="inlineStr">
        <is>
          <t>ALINGSÅS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46302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46302</v>
      </c>
      <c r="F145" t="inlineStr">
        <is>
          <t>VÄSTRA GÖTALANDS LÄN</t>
        </is>
      </c>
      <c r="G145" t="inlineStr">
        <is>
          <t>ALINGSÅS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46302</v>
      </c>
      <c r="F146" t="inlineStr">
        <is>
          <t>VÄSTRA GÖTALANDS LÄN</t>
        </is>
      </c>
      <c r="G146" t="inlineStr">
        <is>
          <t>ALINGSÅS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46302</v>
      </c>
      <c r="F147" t="inlineStr">
        <is>
          <t>VÄSTRA GÖTALANDS LÄN</t>
        </is>
      </c>
      <c r="G147" t="inlineStr">
        <is>
          <t>ALINGSÅS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46302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19553-2024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45429</v>
      </c>
      <c r="E149" s="1" t="n">
        <v>46302</v>
      </c>
      <c r="F149" t="inlineStr">
        <is>
          <t>VÄSTRA GÖTALANDS LÄN</t>
        </is>
      </c>
      <c r="G149" t="inlineStr">
        <is>
          <t>ALINGSÅS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46302</v>
      </c>
      <c r="F150" t="inlineStr">
        <is>
          <t>VÄSTRA GÖTALANDS LÄN</t>
        </is>
      </c>
      <c r="G150" t="inlineStr">
        <is>
          <t>ALINGSÅS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46108</v>
      </c>
      <c r="E151" s="1" t="n">
        <v>46302</v>
      </c>
      <c r="F151" t="inlineStr">
        <is>
          <t>VÄSTRA GÖTALANDS LÄN</t>
        </is>
      </c>
      <c r="G151" t="inlineStr">
        <is>
          <t>ALINGSÅS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46302</v>
      </c>
      <c r="F152" t="inlineStr">
        <is>
          <t>VÄSTRA GÖTALANDS LÄN</t>
        </is>
      </c>
      <c r="G152" t="inlineStr">
        <is>
          <t>ALINGSÅS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46302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45850</v>
      </c>
      <c r="E154" s="1" t="n">
        <v>46302</v>
      </c>
      <c r="F154" t="inlineStr">
        <is>
          <t>VÄSTRA GÖTALANDS LÄN</t>
        </is>
      </c>
      <c r="G154" t="inlineStr">
        <is>
          <t>ALINGSÅS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46302</v>
      </c>
      <c r="F155" t="inlineStr">
        <is>
          <t>VÄSTRA GÖTALANDS LÄN</t>
        </is>
      </c>
      <c r="G155" t="inlineStr">
        <is>
          <t>ALINGSÅS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46302</v>
      </c>
      <c r="F156" t="inlineStr">
        <is>
          <t>VÄSTRA GÖTALANDS LÄN</t>
        </is>
      </c>
      <c r="G156" t="inlineStr">
        <is>
          <t>ALINGSÅS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45850</v>
      </c>
      <c r="E157" s="1" t="n">
        <v>46302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46302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46302</v>
      </c>
      <c r="F159" t="inlineStr">
        <is>
          <t>VÄSTRA GÖTALANDS LÄN</t>
        </is>
      </c>
      <c r="G159" t="inlineStr">
        <is>
          <t>ALINGSÅS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46302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46302</v>
      </c>
      <c r="F161" t="inlineStr">
        <is>
          <t>VÄSTRA GÖTALANDS LÄN</t>
        </is>
      </c>
      <c r="G161" t="inlineStr">
        <is>
          <t>ALINGSÅS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46302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46302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44979</v>
      </c>
      <c r="E164" s="1" t="n">
        <v>46302</v>
      </c>
      <c r="F164" t="inlineStr">
        <is>
          <t>VÄSTRA GÖTALANDS LÄN</t>
        </is>
      </c>
      <c r="G164" t="inlineStr">
        <is>
          <t>ALINGSÅS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18360-2026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46126</v>
      </c>
      <c r="E165" s="1" t="n">
        <v>46302</v>
      </c>
      <c r="F165" t="inlineStr">
        <is>
          <t>VÄSTRA GÖTALANDS LÄN</t>
        </is>
      </c>
      <c r="G165" t="inlineStr">
        <is>
          <t>ALINGSÅS</t>
        </is>
      </c>
      <c r="H165" t="inlineStr">
        <is>
          <t>Kommuner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46302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46302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54073-2025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45964</v>
      </c>
      <c r="E168" s="1" t="n">
        <v>46302</v>
      </c>
      <c r="F168" t="inlineStr">
        <is>
          <t>VÄSTRA GÖTALANDS LÄN</t>
        </is>
      </c>
      <c r="G168" t="inlineStr">
        <is>
          <t>ALINGSÅS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46302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46302</v>
      </c>
      <c r="F170" t="inlineStr">
        <is>
          <t>VÄSTRA GÖTALANDS LÄN</t>
        </is>
      </c>
      <c r="G170" t="inlineStr">
        <is>
          <t>ALINGSÅS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46302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54644-2025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45966</v>
      </c>
      <c r="E172" s="1" t="n">
        <v>46302</v>
      </c>
      <c r="F172" t="inlineStr">
        <is>
          <t>VÄSTRA GÖTALANDS LÄN</t>
        </is>
      </c>
      <c r="G172" t="inlineStr">
        <is>
          <t>ALINGSÅS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46302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46131</v>
      </c>
      <c r="E174" s="1" t="n">
        <v>46302</v>
      </c>
      <c r="F174" t="inlineStr">
        <is>
          <t>VÄSTRA GÖTALANDS LÄN</t>
        </is>
      </c>
      <c r="G174" t="inlineStr">
        <is>
          <t>ALINGSÅS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55294-2025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45969</v>
      </c>
      <c r="E175" s="1" t="n">
        <v>46302</v>
      </c>
      <c r="F175" t="inlineStr">
        <is>
          <t>VÄSTRA GÖTALANDS LÄN</t>
        </is>
      </c>
      <c r="G175" t="inlineStr">
        <is>
          <t>ALINGSÅS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44964</v>
      </c>
      <c r="E176" s="1" t="n">
        <v>46302</v>
      </c>
      <c r="F176" t="inlineStr">
        <is>
          <t>VÄSTRA GÖTALANDS LÄN</t>
        </is>
      </c>
      <c r="G176" t="inlineStr">
        <is>
          <t>ALINGSÅS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46302</v>
      </c>
      <c r="F177" t="inlineStr">
        <is>
          <t>VÄSTRA GÖTALANDS LÄN</t>
        </is>
      </c>
      <c r="G177" t="inlineStr">
        <is>
          <t>ALINGSÅS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46302</v>
      </c>
      <c r="F178" t="inlineStr">
        <is>
          <t>VÄSTRA GÖTALANDS LÄN</t>
        </is>
      </c>
      <c r="G178" t="inlineStr">
        <is>
          <t>ALINGSÅS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46302</v>
      </c>
      <c r="F179" t="inlineStr">
        <is>
          <t>VÄSTRA GÖTALANDS LÄN</t>
        </is>
      </c>
      <c r="G179" t="inlineStr">
        <is>
          <t>ALINGSÅS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45219</v>
      </c>
      <c r="E180" s="1" t="n">
        <v>46302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45465</v>
      </c>
      <c r="E181" s="1" t="n">
        <v>46302</v>
      </c>
      <c r="F181" t="inlineStr">
        <is>
          <t>VÄSTRA GÖTALANDS LÄN</t>
        </is>
      </c>
      <c r="G181" t="inlineStr">
        <is>
          <t>ALINGSÅS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45465</v>
      </c>
      <c r="E182" s="1" t="n">
        <v>46302</v>
      </c>
      <c r="F182" t="inlineStr">
        <is>
          <t>VÄSTRA GÖTALANDS LÄN</t>
        </is>
      </c>
      <c r="G182" t="inlineStr">
        <is>
          <t>ALINGSÅS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46302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56116-2025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45973</v>
      </c>
      <c r="E184" s="1" t="n">
        <v>46302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46302</v>
      </c>
      <c r="F185" t="inlineStr">
        <is>
          <t>VÄSTRA GÖTALANDS LÄN</t>
        </is>
      </c>
      <c r="G185" t="inlineStr">
        <is>
          <t>ALINGSÅS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46302</v>
      </c>
      <c r="F186" t="inlineStr">
        <is>
          <t>VÄSTRA GÖTALANDS LÄN</t>
        </is>
      </c>
      <c r="G186" t="inlineStr">
        <is>
          <t>ALINGSÅS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22186-2025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45785</v>
      </c>
      <c r="E187" s="1" t="n">
        <v>46302</v>
      </c>
      <c r="F187" t="inlineStr">
        <is>
          <t>VÄSTRA GÖTALANDS LÄN</t>
        </is>
      </c>
      <c r="G187" t="inlineStr">
        <is>
          <t>ALINGSÅS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46302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46302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46302</v>
      </c>
      <c r="F190" t="inlineStr">
        <is>
          <t>VÄSTRA GÖTALANDS LÄN</t>
        </is>
      </c>
      <c r="G190" t="inlineStr">
        <is>
          <t>ALINGSÅS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46302</v>
      </c>
      <c r="F191" t="inlineStr">
        <is>
          <t>VÄSTRA GÖTALANDS LÄN</t>
        </is>
      </c>
      <c r="G191" t="inlineStr">
        <is>
          <t>ALINGSÅS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46302</v>
      </c>
      <c r="F192" t="inlineStr">
        <is>
          <t>VÄSTRA GÖTALANDS LÄN</t>
        </is>
      </c>
      <c r="G192" t="inlineStr">
        <is>
          <t>ALINGSÅS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46302</v>
      </c>
      <c r="F193" t="inlineStr">
        <is>
          <t>VÄSTRA GÖTALANDS LÄN</t>
        </is>
      </c>
      <c r="G193" t="inlineStr">
        <is>
          <t>ALINGSÅS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46302</v>
      </c>
      <c r="F194" t="inlineStr">
        <is>
          <t>VÄSTRA GÖTALANDS LÄN</t>
        </is>
      </c>
      <c r="G194" t="inlineStr">
        <is>
          <t>ALINGSÅS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45996</v>
      </c>
      <c r="E195" s="1" t="n">
        <v>46302</v>
      </c>
      <c r="F195" t="inlineStr">
        <is>
          <t>VÄSTRA GÖTALANDS LÄN</t>
        </is>
      </c>
      <c r="G195" t="inlineStr">
        <is>
          <t>ALINGSÅS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46302</v>
      </c>
      <c r="F196" t="inlineStr">
        <is>
          <t>VÄSTRA GÖTALANDS LÄN</t>
        </is>
      </c>
      <c r="G196" t="inlineStr">
        <is>
          <t>ALINGSÅS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46302</v>
      </c>
      <c r="F197" t="inlineStr">
        <is>
          <t>VÄSTRA GÖTALANDS LÄN</t>
        </is>
      </c>
      <c r="G197" t="inlineStr">
        <is>
          <t>ALINGSÅS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46302</v>
      </c>
      <c r="F198" t="inlineStr">
        <is>
          <t>VÄSTRA GÖTALANDS LÄN</t>
        </is>
      </c>
      <c r="G198" t="inlineStr">
        <is>
          <t>ALINGSÅS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46302</v>
      </c>
      <c r="F199" t="inlineStr">
        <is>
          <t>VÄSTRA GÖTALANDS LÄN</t>
        </is>
      </c>
      <c r="G199" t="inlineStr">
        <is>
          <t>ALINGSÅS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46302</v>
      </c>
      <c r="F200" t="inlineStr">
        <is>
          <t>VÄSTRA GÖTALANDS LÄN</t>
        </is>
      </c>
      <c r="G200" t="inlineStr">
        <is>
          <t>ALINGSÅS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46302</v>
      </c>
      <c r="F201" t="inlineStr">
        <is>
          <t>VÄSTRA GÖTALANDS LÄN</t>
        </is>
      </c>
      <c r="G201" t="inlineStr">
        <is>
          <t>ALINGSÅS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46302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46302</v>
      </c>
      <c r="F203" t="inlineStr">
        <is>
          <t>VÄSTRA GÖTALANDS LÄN</t>
        </is>
      </c>
      <c r="G203" t="inlineStr">
        <is>
          <t>ALINGSÅS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46302</v>
      </c>
      <c r="F204" t="inlineStr">
        <is>
          <t>VÄSTRA GÖTALANDS LÄN</t>
        </is>
      </c>
      <c r="G204" t="inlineStr">
        <is>
          <t>ALINGSÅS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46302</v>
      </c>
      <c r="F205" t="inlineStr">
        <is>
          <t>VÄSTRA GÖTALANDS LÄN</t>
        </is>
      </c>
      <c r="G205" t="inlineStr">
        <is>
          <t>ALINGSÅS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46302</v>
      </c>
      <c r="F206" t="inlineStr">
        <is>
          <t>VÄSTRA GÖTALANDS LÄN</t>
        </is>
      </c>
      <c r="G206" t="inlineStr">
        <is>
          <t>ALINGSÅS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46302</v>
      </c>
      <c r="F207" t="inlineStr">
        <is>
          <t>VÄSTRA GÖTALANDS LÄN</t>
        </is>
      </c>
      <c r="G207" t="inlineStr">
        <is>
          <t>ALINGSÅS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46302</v>
      </c>
      <c r="F208" t="inlineStr">
        <is>
          <t>VÄSTRA GÖTALANDS LÄN</t>
        </is>
      </c>
      <c r="G208" t="inlineStr">
        <is>
          <t>ALINGSÅS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46302</v>
      </c>
      <c r="F209" t="inlineStr">
        <is>
          <t>VÄSTRA GÖTALANDS LÄN</t>
        </is>
      </c>
      <c r="G209" t="inlineStr">
        <is>
          <t>ALINGSÅS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45133</v>
      </c>
      <c r="E210" s="1" t="n">
        <v>46302</v>
      </c>
      <c r="F210" t="inlineStr">
        <is>
          <t>VÄSTRA GÖTALANDS LÄN</t>
        </is>
      </c>
      <c r="G210" t="inlineStr">
        <is>
          <t>ALINGSÅS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25302-2026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46176</v>
      </c>
      <c r="E211" s="1" t="n">
        <v>46302</v>
      </c>
      <c r="F211" t="inlineStr">
        <is>
          <t>VÄSTRA GÖTALANDS LÄN</t>
        </is>
      </c>
      <c r="G211" t="inlineStr">
        <is>
          <t>ALINGSÅS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46302</v>
      </c>
      <c r="F212" t="inlineStr">
        <is>
          <t>VÄSTRA GÖTALANDS LÄN</t>
        </is>
      </c>
      <c r="G212" t="inlineStr">
        <is>
          <t>ALINGSÅS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46302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46177</v>
      </c>
      <c r="E214" s="1" t="n">
        <v>46302</v>
      </c>
      <c r="F214" t="inlineStr">
        <is>
          <t>VÄSTRA GÖTALANDS LÄN</t>
        </is>
      </c>
      <c r="G214" t="inlineStr">
        <is>
          <t>ALINGSÅS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46302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46302</v>
      </c>
      <c r="F216" t="inlineStr">
        <is>
          <t>VÄSTRA GÖTALANDS LÄN</t>
        </is>
      </c>
      <c r="G216" t="inlineStr">
        <is>
          <t>ALINGSÅS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46302</v>
      </c>
      <c r="F217" t="inlineStr">
        <is>
          <t>VÄSTRA GÖTALANDS LÄN</t>
        </is>
      </c>
      <c r="G217" t="inlineStr">
        <is>
          <t>ALINGSÅS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46302</v>
      </c>
      <c r="F218" t="inlineStr">
        <is>
          <t>VÄSTRA GÖTALANDS LÄN</t>
        </is>
      </c>
      <c r="G218" t="inlineStr">
        <is>
          <t>ALINGSÅS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46302</v>
      </c>
      <c r="F219" t="inlineStr">
        <is>
          <t>VÄSTRA GÖTALANDS LÄN</t>
        </is>
      </c>
      <c r="G219" t="inlineStr">
        <is>
          <t>ALINGSÅS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46302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46302</v>
      </c>
      <c r="F221" t="inlineStr">
        <is>
          <t>VÄSTRA GÖTALANDS LÄN</t>
        </is>
      </c>
      <c r="G221" t="inlineStr">
        <is>
          <t>ALINGSÅS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46302</v>
      </c>
      <c r="F222" t="inlineStr">
        <is>
          <t>VÄSTRA GÖTALANDS LÄN</t>
        </is>
      </c>
      <c r="G222" t="inlineStr">
        <is>
          <t>ALINGSÅS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46302</v>
      </c>
      <c r="F223" t="inlineStr">
        <is>
          <t>VÄSTRA GÖTALANDS LÄN</t>
        </is>
      </c>
      <c r="G223" t="inlineStr">
        <is>
          <t>ALINGSÅS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46302</v>
      </c>
      <c r="F224" t="inlineStr">
        <is>
          <t>VÄSTRA GÖTALANDS LÄN</t>
        </is>
      </c>
      <c r="G224" t="inlineStr">
        <is>
          <t>ALINGSÅS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46302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46302</v>
      </c>
      <c r="F226" t="inlineStr">
        <is>
          <t>VÄSTRA GÖTALANDS LÄN</t>
        </is>
      </c>
      <c r="G226" t="inlineStr">
        <is>
          <t>ALINGSÅS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46191</v>
      </c>
      <c r="E227" s="1" t="n">
        <v>46302</v>
      </c>
      <c r="F227" t="inlineStr">
        <is>
          <t>VÄSTRA GÖTALANDS LÄN</t>
        </is>
      </c>
      <c r="G227" t="inlineStr">
        <is>
          <t>ALINGSÅS</t>
        </is>
      </c>
      <c r="I227" t="n">
        <v>21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9181-2022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44615</v>
      </c>
      <c r="E228" s="1" t="n">
        <v>46302</v>
      </c>
      <c r="F228" t="inlineStr">
        <is>
          <t>VÄSTRA GÖTALANDS LÄN</t>
        </is>
      </c>
      <c r="G228" t="inlineStr">
        <is>
          <t>ALINGSÅS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42865-2022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44832</v>
      </c>
      <c r="E229" s="1" t="n">
        <v>46302</v>
      </c>
      <c r="F229" t="inlineStr">
        <is>
          <t>VÄSTRA GÖTALANDS LÄN</t>
        </is>
      </c>
      <c r="G229" t="inlineStr">
        <is>
          <t>ALINGSÅS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44729</v>
      </c>
      <c r="E230" s="1" t="n">
        <v>46302</v>
      </c>
      <c r="F230" t="inlineStr">
        <is>
          <t>VÄSTRA GÖTALANDS LÄN</t>
        </is>
      </c>
      <c r="G230" t="inlineStr">
        <is>
          <t>ALINGSÅS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45371</v>
      </c>
      <c r="E231" s="1" t="n">
        <v>46302</v>
      </c>
      <c r="F231" t="inlineStr">
        <is>
          <t>VÄSTRA GÖTALANDS LÄN</t>
        </is>
      </c>
      <c r="G231" t="inlineStr">
        <is>
          <t>ALINGSÅS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46302</v>
      </c>
      <c r="F232" t="inlineStr">
        <is>
          <t>VÄSTRA GÖTALANDS LÄN</t>
        </is>
      </c>
      <c r="G232" t="inlineStr">
        <is>
          <t>ALINGSÅS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45412</v>
      </c>
      <c r="E233" s="1" t="n">
        <v>46302</v>
      </c>
      <c r="F233" t="inlineStr">
        <is>
          <t>VÄSTRA GÖTALANDS LÄN</t>
        </is>
      </c>
      <c r="G233" t="inlineStr">
        <is>
          <t>ALINGSÅS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2362-2024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45310</v>
      </c>
      <c r="E234" s="1" t="n">
        <v>46302</v>
      </c>
      <c r="F234" t="inlineStr">
        <is>
          <t>VÄSTRA GÖTALANDS LÄN</t>
        </is>
      </c>
      <c r="G234" t="inlineStr">
        <is>
          <t>ALINGSÅS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44821</v>
      </c>
      <c r="E235" s="1" t="n">
        <v>46302</v>
      </c>
      <c r="F235" t="inlineStr">
        <is>
          <t>VÄSTRA GÖTALANDS LÄN</t>
        </is>
      </c>
      <c r="G235" t="inlineStr">
        <is>
          <t>ALINGSÅS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45420</v>
      </c>
      <c r="E236" s="1" t="n">
        <v>46302</v>
      </c>
      <c r="F236" t="inlineStr">
        <is>
          <t>VÄSTRA GÖTALANDS LÄN</t>
        </is>
      </c>
      <c r="G236" t="inlineStr">
        <is>
          <t>ALINGSÅS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45380</v>
      </c>
      <c r="E237" s="1" t="n">
        <v>46302</v>
      </c>
      <c r="F237" t="inlineStr">
        <is>
          <t>VÄSTRA GÖTALANDS LÄN</t>
        </is>
      </c>
      <c r="G237" t="inlineStr">
        <is>
          <t>ALINGSÅS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24607-2022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44727</v>
      </c>
      <c r="E238" s="1" t="n">
        <v>46302</v>
      </c>
      <c r="F238" t="inlineStr">
        <is>
          <t>VÄSTRA GÖTALANDS LÄN</t>
        </is>
      </c>
      <c r="G238" t="inlineStr">
        <is>
          <t>ALINGSÅS</t>
        </is>
      </c>
      <c r="I238" t="n">
        <v>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46302</v>
      </c>
      <c r="F239" t="inlineStr">
        <is>
          <t>VÄSTRA GÖTALANDS LÄN</t>
        </is>
      </c>
      <c r="G239" t="inlineStr">
        <is>
          <t>ALINGSÅS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44721</v>
      </c>
      <c r="E240" s="1" t="n">
        <v>46302</v>
      </c>
      <c r="F240" t="inlineStr">
        <is>
          <t>VÄSTRA GÖTALANDS LÄN</t>
        </is>
      </c>
      <c r="G240" t="inlineStr">
        <is>
          <t>ALINGSÅS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46302</v>
      </c>
      <c r="F241" t="inlineStr">
        <is>
          <t>VÄSTRA GÖTALANDS LÄN</t>
        </is>
      </c>
      <c r="G241" t="inlineStr">
        <is>
          <t>ALINGSÅS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46262</v>
      </c>
      <c r="E242" s="1" t="n">
        <v>46302</v>
      </c>
      <c r="F242" t="inlineStr">
        <is>
          <t>VÄSTRA GÖTALANDS LÄN</t>
        </is>
      </c>
      <c r="G242" t="inlineStr">
        <is>
          <t>ALINGSÅS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45399</v>
      </c>
      <c r="E243" s="1" t="n">
        <v>46302</v>
      </c>
      <c r="F243" t="inlineStr">
        <is>
          <t>VÄSTRA GÖTALANDS LÄN</t>
        </is>
      </c>
      <c r="G243" t="inlineStr">
        <is>
          <t>ALINGSÅS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46266</v>
      </c>
      <c r="E244" s="1" t="n">
        <v>46302</v>
      </c>
      <c r="F244" t="inlineStr">
        <is>
          <t>VÄSTRA GÖTALANDS LÄN</t>
        </is>
      </c>
      <c r="G244" t="inlineStr">
        <is>
          <t>ALINGSÅS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46302</v>
      </c>
      <c r="F245" t="inlineStr">
        <is>
          <t>VÄSTRA GÖTALANDS LÄN</t>
        </is>
      </c>
      <c r="G245" t="inlineStr">
        <is>
          <t>ALINGSÅS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44831</v>
      </c>
      <c r="E246" s="1" t="n">
        <v>46302</v>
      </c>
      <c r="F246" t="inlineStr">
        <is>
          <t>VÄSTRA GÖTALANDS LÄN</t>
        </is>
      </c>
      <c r="G246" t="inlineStr">
        <is>
          <t>ALINGSÅS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44708</v>
      </c>
      <c r="E247" s="1" t="n">
        <v>46302</v>
      </c>
      <c r="F247" t="inlineStr">
        <is>
          <t>VÄSTRA GÖTALANDS LÄN</t>
        </is>
      </c>
      <c r="G247" t="inlineStr">
        <is>
          <t>ALINGSÅS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46302</v>
      </c>
      <c r="F248" t="inlineStr">
        <is>
          <t>VÄSTRA GÖTALANDS LÄN</t>
        </is>
      </c>
      <c r="G248" t="inlineStr">
        <is>
          <t>ALINGSÅS</t>
        </is>
      </c>
      <c r="I248" t="n">
        <v>13.1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44957</v>
      </c>
      <c r="E249" s="1" t="n">
        <v>46302</v>
      </c>
      <c r="F249" t="inlineStr">
        <is>
          <t>VÄSTRA GÖTALANDS LÄN</t>
        </is>
      </c>
      <c r="G249" t="inlineStr">
        <is>
          <t>ALINGSÅS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46302</v>
      </c>
      <c r="F250" t="inlineStr">
        <is>
          <t>VÄSTRA GÖTALANDS LÄN</t>
        </is>
      </c>
      <c r="G250" t="inlineStr">
        <is>
          <t>ALINGSÅS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46302</v>
      </c>
      <c r="F251" t="inlineStr">
        <is>
          <t>VÄSTRA GÖTALANDS LÄN</t>
        </is>
      </c>
      <c r="G251" t="inlineStr">
        <is>
          <t>ALINGSÅS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46302</v>
      </c>
      <c r="F252" t="inlineStr">
        <is>
          <t>VÄSTRA GÖTALANDS LÄN</t>
        </is>
      </c>
      <c r="G252" t="inlineStr">
        <is>
          <t>ALINGSÅS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47233-2022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44852</v>
      </c>
      <c r="E253" s="1" t="n">
        <v>46302</v>
      </c>
      <c r="F253" t="inlineStr">
        <is>
          <t>VÄSTRA GÖTALANDS LÄN</t>
        </is>
      </c>
      <c r="G253" t="inlineStr">
        <is>
          <t>ALINGSÅS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46302</v>
      </c>
      <c r="F254" t="inlineStr">
        <is>
          <t>VÄSTRA GÖTALANDS LÄN</t>
        </is>
      </c>
      <c r="G254" t="inlineStr">
        <is>
          <t>ALINGSÅS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46232</v>
      </c>
      <c r="E255" s="1" t="n">
        <v>46302</v>
      </c>
      <c r="F255" t="inlineStr">
        <is>
          <t>VÄSTRA GÖTALANDS LÄN</t>
        </is>
      </c>
      <c r="G255" t="inlineStr">
        <is>
          <t>ALINGSÅS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46302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46302</v>
      </c>
      <c r="F257" t="inlineStr">
        <is>
          <t>VÄSTRA GÖTALANDS LÄN</t>
        </is>
      </c>
      <c r="G257" t="inlineStr">
        <is>
          <t>ALINGSÅS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46302</v>
      </c>
      <c r="F258" t="inlineStr">
        <is>
          <t>VÄSTRA GÖTALANDS LÄN</t>
        </is>
      </c>
      <c r="G258" t="inlineStr">
        <is>
          <t>ALINGSÅS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46302</v>
      </c>
      <c r="F259" t="inlineStr">
        <is>
          <t>VÄSTRA GÖTALANDS LÄN</t>
        </is>
      </c>
      <c r="G259" t="inlineStr">
        <is>
          <t>ALINGSÅS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46302</v>
      </c>
      <c r="F260" t="inlineStr">
        <is>
          <t>VÄSTRA GÖTALANDS LÄN</t>
        </is>
      </c>
      <c r="G260" t="inlineStr">
        <is>
          <t>ALINGSÅS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46302</v>
      </c>
      <c r="F261" t="inlineStr">
        <is>
          <t>VÄSTRA GÖTALANDS LÄN</t>
        </is>
      </c>
      <c r="G261" t="inlineStr">
        <is>
          <t>ALINGSÅS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46302</v>
      </c>
      <c r="F262" t="inlineStr">
        <is>
          <t>VÄSTRA GÖTALANDS LÄN</t>
        </is>
      </c>
      <c r="G262" t="inlineStr">
        <is>
          <t>ALINGSÅS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46289</v>
      </c>
      <c r="E263" s="1" t="n">
        <v>46302</v>
      </c>
      <c r="F263" t="inlineStr">
        <is>
          <t>VÄSTRA GÖTALANDS LÄN</t>
        </is>
      </c>
      <c r="G263" t="inlineStr">
        <is>
          <t>ALINGSÅS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46302</v>
      </c>
      <c r="F264" t="inlineStr">
        <is>
          <t>VÄSTRA GÖTALANDS LÄN</t>
        </is>
      </c>
      <c r="G264" t="inlineStr">
        <is>
          <t>ALINGSÅS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46302</v>
      </c>
      <c r="F265" t="inlineStr">
        <is>
          <t>VÄSTRA GÖTALANDS LÄN</t>
        </is>
      </c>
      <c r="G265" t="inlineStr">
        <is>
          <t>ALINGSÅS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45378</v>
      </c>
      <c r="E266" s="1" t="n">
        <v>46302</v>
      </c>
      <c r="F266" t="inlineStr">
        <is>
          <t>VÄSTRA GÖTALANDS LÄN</t>
        </is>
      </c>
      <c r="G266" t="inlineStr">
        <is>
          <t>ALINGSÅS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47960-2022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44855</v>
      </c>
      <c r="E267" s="1" t="n">
        <v>46302</v>
      </c>
      <c r="F267" t="inlineStr">
        <is>
          <t>VÄSTRA GÖTALANDS LÄN</t>
        </is>
      </c>
      <c r="G267" t="inlineStr">
        <is>
          <t>ALINGSÅS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46302</v>
      </c>
      <c r="F268" t="inlineStr">
        <is>
          <t>VÄSTRA GÖTALANDS LÄN</t>
        </is>
      </c>
      <c r="G268" t="inlineStr">
        <is>
          <t>ALINGSÅS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46302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46302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46290</v>
      </c>
      <c r="E271" s="1" t="n">
        <v>46302</v>
      </c>
      <c r="F271" t="inlineStr">
        <is>
          <t>VÄSTRA GÖTALANDS LÄN</t>
        </is>
      </c>
      <c r="G271" t="inlineStr">
        <is>
          <t>ALINGSÅS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46302</v>
      </c>
      <c r="F272" t="inlineStr">
        <is>
          <t>VÄSTRA GÖTALANDS LÄN</t>
        </is>
      </c>
      <c r="G272" t="inlineStr">
        <is>
          <t>ALINGSÅS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46302</v>
      </c>
      <c r="F273" t="inlineStr">
        <is>
          <t>VÄSTRA GÖTALANDS LÄN</t>
        </is>
      </c>
      <c r="G273" t="inlineStr">
        <is>
          <t>ALINGSÅS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46302</v>
      </c>
      <c r="F274" t="inlineStr">
        <is>
          <t>VÄSTRA GÖTALANDS LÄN</t>
        </is>
      </c>
      <c r="G274" t="inlineStr">
        <is>
          <t>ALINGSÅS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39612-2026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46289</v>
      </c>
      <c r="E275" s="1" t="n">
        <v>46302</v>
      </c>
      <c r="F275" t="inlineStr">
        <is>
          <t>VÄSTRA GÖTALANDS LÄN</t>
        </is>
      </c>
      <c r="G275" t="inlineStr">
        <is>
          <t>ALINGSÅS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46302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46302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45011</v>
      </c>
      <c r="E278" s="1" t="n">
        <v>46302</v>
      </c>
      <c r="F278" t="inlineStr">
        <is>
          <t>VÄSTRA GÖTALANDS LÄN</t>
        </is>
      </c>
      <c r="G278" t="inlineStr">
        <is>
          <t>ALINGSÅS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46294</v>
      </c>
      <c r="E279" s="1" t="n">
        <v>46302</v>
      </c>
      <c r="F279" t="inlineStr">
        <is>
          <t>VÄSTRA GÖTALANDS LÄN</t>
        </is>
      </c>
      <c r="G279" t="inlineStr">
        <is>
          <t>ALINGSÅS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46302</v>
      </c>
      <c r="F280" t="inlineStr">
        <is>
          <t>VÄSTRA GÖTALANDS LÄN</t>
        </is>
      </c>
      <c r="G280" t="inlineStr">
        <is>
          <t>ALINGSÅS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12318-2022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44637</v>
      </c>
      <c r="E281" s="1" t="n">
        <v>46302</v>
      </c>
      <c r="F281" t="inlineStr">
        <is>
          <t>VÄSTRA GÖTALANDS LÄN</t>
        </is>
      </c>
      <c r="G281" t="inlineStr">
        <is>
          <t>ALINGSÅS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46302</v>
      </c>
      <c r="F282" t="inlineStr">
        <is>
          <t>VÄSTRA GÖTALANDS LÄN</t>
        </is>
      </c>
      <c r="G282" t="inlineStr">
        <is>
          <t>ALINGSÅS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46302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46302</v>
      </c>
      <c r="F284" t="inlineStr">
        <is>
          <t>VÄSTRA GÖTALANDS LÄN</t>
        </is>
      </c>
      <c r="G284" t="inlineStr">
        <is>
          <t>ALINGSÅS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46302</v>
      </c>
      <c r="F285" t="inlineStr">
        <is>
          <t>VÄSTRA GÖTALANDS LÄN</t>
        </is>
      </c>
      <c r="G285" t="inlineStr">
        <is>
          <t>ALINGSÅS</t>
        </is>
      </c>
      <c r="H285" t="inlineStr">
        <is>
          <t>Kyrkan</t>
        </is>
      </c>
      <c r="I285" t="n">
        <v>9.199999999999999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46296</v>
      </c>
      <c r="E286" s="1" t="n">
        <v>46302</v>
      </c>
      <c r="F286" t="inlineStr">
        <is>
          <t>VÄSTRA GÖTALANDS LÄN</t>
        </is>
      </c>
      <c r="G286" t="inlineStr">
        <is>
          <t>ALINGSÅS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45465</v>
      </c>
      <c r="E287" s="1" t="n">
        <v>46302</v>
      </c>
      <c r="F287" t="inlineStr">
        <is>
          <t>VÄSTRA GÖTALANDS LÄN</t>
        </is>
      </c>
      <c r="G287" t="inlineStr">
        <is>
          <t>ALINGSÅS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46296</v>
      </c>
      <c r="E288" s="1" t="n">
        <v>46302</v>
      </c>
      <c r="F288" t="inlineStr">
        <is>
          <t>VÄSTRA GÖTALANDS LÄN</t>
        </is>
      </c>
      <c r="G288" t="inlineStr">
        <is>
          <t>ALINGSÅS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46302</v>
      </c>
      <c r="F289" t="inlineStr">
        <is>
          <t>VÄSTRA GÖTALANDS LÄN</t>
        </is>
      </c>
      <c r="G289" t="inlineStr">
        <is>
          <t>ALINGSÅS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44949</v>
      </c>
      <c r="E290" s="1" t="n">
        <v>46302</v>
      </c>
      <c r="F290" t="inlineStr">
        <is>
          <t>VÄSTRA GÖTALANDS LÄN</t>
        </is>
      </c>
      <c r="G290" t="inlineStr">
        <is>
          <t>ALINGSÅS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46302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46302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46302</v>
      </c>
      <c r="F293" t="inlineStr">
        <is>
          <t>VÄSTRA GÖTALANDS LÄN</t>
        </is>
      </c>
      <c r="G293" t="inlineStr">
        <is>
          <t>ALINGSÅS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46302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46300</v>
      </c>
      <c r="E295" s="1" t="n">
        <v>46302</v>
      </c>
      <c r="F295" t="inlineStr">
        <is>
          <t>VÄSTRA GÖTALANDS LÄN</t>
        </is>
      </c>
      <c r="G295" t="inlineStr">
        <is>
          <t>ALINGSÅS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46302</v>
      </c>
      <c r="F296" t="inlineStr">
        <is>
          <t>VÄSTRA GÖTALANDS LÄN</t>
        </is>
      </c>
      <c r="G296" t="inlineStr">
        <is>
          <t>ALINGSÅS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46299</v>
      </c>
      <c r="E297" s="1" t="n">
        <v>46302</v>
      </c>
      <c r="F297" t="inlineStr">
        <is>
          <t>VÄSTRA GÖTALANDS LÄN</t>
        </is>
      </c>
      <c r="G297" t="inlineStr">
        <is>
          <t>ALINGSÅS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34543-2026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46255</v>
      </c>
      <c r="E298" s="1" t="n">
        <v>46302</v>
      </c>
      <c r="F298" t="inlineStr">
        <is>
          <t>VÄSTRA GÖTALANDS LÄN</t>
        </is>
      </c>
      <c r="G298" t="inlineStr">
        <is>
          <t>ALINGSÅS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46302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46302</v>
      </c>
      <c r="F300" t="inlineStr">
        <is>
          <t>VÄSTRA GÖTALANDS LÄN</t>
        </is>
      </c>
      <c r="G300" t="inlineStr">
        <is>
          <t>ALINGSÅS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44816</v>
      </c>
      <c r="E301" s="1" t="n">
        <v>46302</v>
      </c>
      <c r="F301" t="inlineStr">
        <is>
          <t>VÄSTRA GÖTALANDS LÄN</t>
        </is>
      </c>
      <c r="G301" t="inlineStr">
        <is>
          <t>ALINGSÅS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46302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46302</v>
      </c>
      <c r="F303" t="inlineStr">
        <is>
          <t>VÄSTRA GÖTALANDS LÄN</t>
        </is>
      </c>
      <c r="G303" t="inlineStr">
        <is>
          <t>ALINGSÅS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45465</v>
      </c>
      <c r="E304" s="1" t="n">
        <v>46302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46302</v>
      </c>
      <c r="F305" t="inlineStr">
        <is>
          <t>VÄSTRA GÖTALANDS LÄN</t>
        </is>
      </c>
      <c r="G305" t="inlineStr">
        <is>
          <t>ALINGSÅS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45177</v>
      </c>
      <c r="E306" s="1" t="n">
        <v>46302</v>
      </c>
      <c r="F306" t="inlineStr">
        <is>
          <t>VÄSTRA GÖTALANDS LÄN</t>
        </is>
      </c>
      <c r="G306" t="inlineStr">
        <is>
          <t>ALINGSÅS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49164-2024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45594</v>
      </c>
      <c r="E307" s="1" t="n">
        <v>46302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46302</v>
      </c>
      <c r="F308" t="inlineStr">
        <is>
          <t>VÄSTRA GÖTALANDS LÄN</t>
        </is>
      </c>
      <c r="G308" t="inlineStr">
        <is>
          <t>ALINGSÅS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46302</v>
      </c>
      <c r="F309" t="inlineStr">
        <is>
          <t>VÄSTRA GÖTALANDS LÄN</t>
        </is>
      </c>
      <c r="G309" t="inlineStr">
        <is>
          <t>ALINGSÅS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46302</v>
      </c>
      <c r="F310" t="inlineStr">
        <is>
          <t>VÄSTRA GÖTALANDS LÄN</t>
        </is>
      </c>
      <c r="G310" t="inlineStr">
        <is>
          <t>ALINGSÅS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46302</v>
      </c>
      <c r="F311" t="inlineStr">
        <is>
          <t>VÄSTRA GÖTALANDS LÄN</t>
        </is>
      </c>
      <c r="G311" t="inlineStr">
        <is>
          <t>ALINGSÅS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46302</v>
      </c>
      <c r="F312" t="inlineStr">
        <is>
          <t>VÄSTRA GÖTALANDS LÄN</t>
        </is>
      </c>
      <c r="G312" t="inlineStr">
        <is>
          <t>ALINGSÅS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46302</v>
      </c>
      <c r="F313" t="inlineStr">
        <is>
          <t>VÄSTRA GÖTALANDS LÄN</t>
        </is>
      </c>
      <c r="G313" t="inlineStr">
        <is>
          <t>ALINGSÅS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277-2024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46302</v>
      </c>
      <c r="F314" t="inlineStr">
        <is>
          <t>VÄSTRA GÖTALANDS LÄN</t>
        </is>
      </c>
      <c r="G314" t="inlineStr">
        <is>
          <t>ALINGSÅS</t>
        </is>
      </c>
      <c r="I314" t="n">
        <v>60.2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276-2024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46302</v>
      </c>
      <c r="F315" t="inlineStr">
        <is>
          <t>VÄSTRA GÖTALANDS LÄN</t>
        </is>
      </c>
      <c r="G315" t="inlineStr">
        <is>
          <t>ALINGSÅS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640-2024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46302</v>
      </c>
      <c r="F316" t="inlineStr">
        <is>
          <t>VÄSTRA GÖTALANDS LÄN</t>
        </is>
      </c>
      <c r="G316" t="inlineStr">
        <is>
          <t>ALINGSÅS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1657-2024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45429</v>
      </c>
      <c r="E317" s="1" t="n">
        <v>46302</v>
      </c>
      <c r="F317" t="inlineStr">
        <is>
          <t>VÄSTRA GÖTALANDS LÄN</t>
        </is>
      </c>
      <c r="G317" t="inlineStr">
        <is>
          <t>ALINGSÅS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3691-2024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45552</v>
      </c>
      <c r="E318" s="1" t="n">
        <v>46302</v>
      </c>
      <c r="F318" t="inlineStr">
        <is>
          <t>VÄSTRA GÖTALANDS LÄN</t>
        </is>
      </c>
      <c r="G318" t="inlineStr">
        <is>
          <t>ALINGSÅS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4831-2022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44804</v>
      </c>
      <c r="E319" s="1" t="n">
        <v>46302</v>
      </c>
      <c r="F319" t="inlineStr">
        <is>
          <t>VÄSTRA GÖTALANDS LÄN</t>
        </is>
      </c>
      <c r="G319" t="inlineStr">
        <is>
          <t>ALINGSÅS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278-2024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45323</v>
      </c>
      <c r="E320" s="1" t="n">
        <v>46302</v>
      </c>
      <c r="F320" t="inlineStr">
        <is>
          <t>VÄSTRA GÖTALANDS LÄN</t>
        </is>
      </c>
      <c r="G320" t="inlineStr">
        <is>
          <t>ALINGSÅS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639-2024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45355</v>
      </c>
      <c r="E321" s="1" t="n">
        <v>46302</v>
      </c>
      <c r="F321" t="inlineStr">
        <is>
          <t>VÄSTRA GÖTALANDS LÄN</t>
        </is>
      </c>
      <c r="G321" t="inlineStr">
        <is>
          <t>ALINGSÅS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1784-2025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45813</v>
      </c>
      <c r="E322" s="1" t="n">
        <v>46302</v>
      </c>
      <c r="F322" t="inlineStr">
        <is>
          <t>VÄSTRA GÖTALANDS LÄN</t>
        </is>
      </c>
      <c r="G322" t="inlineStr">
        <is>
          <t>ALINGSÅS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1043-2023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45010</v>
      </c>
      <c r="E323" s="1" t="n">
        <v>46302</v>
      </c>
      <c r="F323" t="inlineStr">
        <is>
          <t>VÄSTRA GÖTALANDS LÄN</t>
        </is>
      </c>
      <c r="G323" t="inlineStr">
        <is>
          <t>ALINGSÅS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2026-10-07T02:08:15Z</dcterms:created>
  <dcterms:modified xmlns:dcterms="http://purl.org/dc/terms/" xmlns:xsi="http://www.w3.org/2001/XMLSchema-instance" xsi:type="dcterms:W3CDTF">2026-10-07T02:08:15Z</dcterms:modified>
</cp:coreProperties>
</file>