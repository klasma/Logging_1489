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45345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45345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45345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45345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45345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45345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45345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Kråka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</row>
    <row r="9" ht="15" customHeight="1">
      <c r="A9" t="inlineStr">
        <is>
          <t>A 26240-2020</t>
        </is>
      </c>
      <c r="B9" s="1" t="n">
        <v>43986</v>
      </c>
      <c r="C9" s="1" t="n">
        <v>45345</v>
      </c>
      <c r="D9" t="inlineStr">
        <is>
          <t>VÄSTRA GÖTALANDS LÄN</t>
        </is>
      </c>
      <c r="E9" t="inlineStr">
        <is>
          <t>ALINGSÅS</t>
        </is>
      </c>
      <c r="G9" t="n">
        <v>2.1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Kastanjesopp</t>
        </is>
      </c>
      <c r="S9">
        <f>HYPERLINK("https://klasma.github.io/Logging_1489/artfynd/A 26240-2020 artfynd.xlsx", "A 26240-2020")</f>
        <v/>
      </c>
      <c r="T9">
        <f>HYPERLINK("https://klasma.github.io/Logging_1489/kartor/A 26240-2020 karta.png", "A 26240-2020")</f>
        <v/>
      </c>
      <c r="V9">
        <f>HYPERLINK("https://klasma.github.io/Logging_1489/klagomål/A 26240-2020 FSC-klagomål.docx", "A 26240-2020")</f>
        <v/>
      </c>
      <c r="W9">
        <f>HYPERLINK("https://klasma.github.io/Logging_1489/klagomålsmail/A 26240-2020 FSC-klagomål mail.docx", "A 26240-2020")</f>
        <v/>
      </c>
      <c r="X9">
        <f>HYPERLINK("https://klasma.github.io/Logging_1489/tillsyn/A 26240-2020 tillsynsbegäran.docx", "A 26240-2020")</f>
        <v/>
      </c>
      <c r="Y9">
        <f>HYPERLINK("https://klasma.github.io/Logging_1489/tillsynsmail/A 26240-2020 tillsynsbegäran mail.docx", "A 26240-2020")</f>
        <v/>
      </c>
    </row>
    <row r="10" ht="15" customHeight="1">
      <c r="A10" t="inlineStr">
        <is>
          <t>A 8209-2021</t>
        </is>
      </c>
      <c r="B10" s="1" t="n">
        <v>44244</v>
      </c>
      <c r="C10" s="1" t="n">
        <v>45345</v>
      </c>
      <c r="D10" t="inlineStr">
        <is>
          <t>VÄSTRA GÖTALANDS LÄN</t>
        </is>
      </c>
      <c r="E10" t="inlineStr">
        <is>
          <t>ALINGSÅS</t>
        </is>
      </c>
      <c r="G10" t="n">
        <v>3.1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Björktrast</t>
        </is>
      </c>
      <c r="S10">
        <f>HYPERLINK("https://klasma.github.io/Logging_1489/artfynd/A 8209-2021 artfynd.xlsx", "A 8209-2021")</f>
        <v/>
      </c>
      <c r="T10">
        <f>HYPERLINK("https://klasma.github.io/Logging_1489/kartor/A 8209-2021 karta.png", "A 8209-2021")</f>
        <v/>
      </c>
      <c r="V10">
        <f>HYPERLINK("https://klasma.github.io/Logging_1489/klagomål/A 8209-2021 FSC-klagomål.docx", "A 8209-2021")</f>
        <v/>
      </c>
      <c r="W10">
        <f>HYPERLINK("https://klasma.github.io/Logging_1489/klagomålsmail/A 8209-2021 FSC-klagomål mail.docx", "A 8209-2021")</f>
        <v/>
      </c>
      <c r="X10">
        <f>HYPERLINK("https://klasma.github.io/Logging_1489/tillsyn/A 8209-2021 tillsynsbegäran.docx", "A 8209-2021")</f>
        <v/>
      </c>
      <c r="Y10">
        <f>HYPERLINK("https://klasma.github.io/Logging_1489/tillsynsmail/A 8209-2021 tillsynsbegäran mail.docx", "A 8209-2021")</f>
        <v/>
      </c>
    </row>
    <row r="11" ht="15" customHeight="1">
      <c r="A11" t="inlineStr">
        <is>
          <t>A 46768-2022</t>
        </is>
      </c>
      <c r="B11" s="1" t="n">
        <v>44848</v>
      </c>
      <c r="C11" s="1" t="n">
        <v>45345</v>
      </c>
      <c r="D11" t="inlineStr">
        <is>
          <t>VÄSTRA GÖTALANDS LÄN</t>
        </is>
      </c>
      <c r="E11" t="inlineStr">
        <is>
          <t>ALINGSÅS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Flodkräfta</t>
        </is>
      </c>
      <c r="S11">
        <f>HYPERLINK("https://klasma.github.io/Logging_1489/artfynd/A 46768-2022 artfynd.xlsx", "A 46768-2022")</f>
        <v/>
      </c>
      <c r="T11">
        <f>HYPERLINK("https://klasma.github.io/Logging_1489/kartor/A 46768-2022 karta.png", "A 46768-2022")</f>
        <v/>
      </c>
      <c r="V11">
        <f>HYPERLINK("https://klasma.github.io/Logging_1489/klagomål/A 46768-2022 FSC-klagomål.docx", "A 46768-2022")</f>
        <v/>
      </c>
      <c r="W11">
        <f>HYPERLINK("https://klasma.github.io/Logging_1489/klagomålsmail/A 46768-2022 FSC-klagomål mail.docx", "A 46768-2022")</f>
        <v/>
      </c>
      <c r="X11">
        <f>HYPERLINK("https://klasma.github.io/Logging_1489/tillsyn/A 46768-2022 tillsynsbegäran.docx", "A 46768-2022")</f>
        <v/>
      </c>
      <c r="Y11">
        <f>HYPERLINK("https://klasma.github.io/Logging_1489/tillsynsmail/A 46768-2022 tillsynsbegäran mail.docx", "A 46768-2022")</f>
        <v/>
      </c>
    </row>
    <row r="12" ht="15" customHeight="1">
      <c r="A12" t="inlineStr">
        <is>
          <t>A 26384-2023</t>
        </is>
      </c>
      <c r="B12" s="1" t="n">
        <v>45092</v>
      </c>
      <c r="C12" s="1" t="n">
        <v>45345</v>
      </c>
      <c r="D12" t="inlineStr">
        <is>
          <t>VÄSTRA GÖTALANDS LÄN</t>
        </is>
      </c>
      <c r="E12" t="inlineStr">
        <is>
          <t>ALINGSÅS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HYPERLINK("https://klasma.github.io/Logging_1489/artfynd/A 26384-2023 artfynd.xlsx", "A 26384-2023")</f>
        <v/>
      </c>
      <c r="T12">
        <f>HYPERLINK("https://klasma.github.io/Logging_1489/kartor/A 26384-2023 karta.png", "A 26384-2023")</f>
        <v/>
      </c>
      <c r="V12">
        <f>HYPERLINK("https://klasma.github.io/Logging_1489/klagomål/A 26384-2023 FSC-klagomål.docx", "A 26384-2023")</f>
        <v/>
      </c>
      <c r="W12">
        <f>HYPERLINK("https://klasma.github.io/Logging_1489/klagomålsmail/A 26384-2023 FSC-klagomål mail.docx", "A 26384-2023")</f>
        <v/>
      </c>
      <c r="X12">
        <f>HYPERLINK("https://klasma.github.io/Logging_1489/tillsyn/A 26384-2023 tillsynsbegäran.docx", "A 26384-2023")</f>
        <v/>
      </c>
      <c r="Y12">
        <f>HYPERLINK("https://klasma.github.io/Logging_1489/tillsynsmail/A 26384-2023 tillsynsbegäran mail.docx", "A 26384-2023")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45345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Orange taggsvamp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45345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45345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37609-2018</t>
        </is>
      </c>
      <c r="B16" s="1" t="n">
        <v>43334</v>
      </c>
      <c r="C16" s="1" t="n">
        <v>45345</v>
      </c>
      <c r="D16" t="inlineStr">
        <is>
          <t>VÄSTRA GÖTALANDS LÄN</t>
        </is>
      </c>
      <c r="E16" t="inlineStr">
        <is>
          <t>ALINGSÅS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39877-2018</t>
        </is>
      </c>
      <c r="B17" s="1" t="n">
        <v>43342</v>
      </c>
      <c r="C17" s="1" t="n">
        <v>45345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41550-2018</t>
        </is>
      </c>
      <c r="B18" s="1" t="n">
        <v>43347</v>
      </c>
      <c r="C18" s="1" t="n">
        <v>45345</v>
      </c>
      <c r="D18" t="inlineStr">
        <is>
          <t>VÄSTRA GÖTALANDS LÄN</t>
        </is>
      </c>
      <c r="E18" t="inlineStr">
        <is>
          <t>ALINGSÅS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52234-2018</t>
        </is>
      </c>
      <c r="B19" s="1" t="n">
        <v>43388</v>
      </c>
      <c r="C19" s="1" t="n">
        <v>45345</v>
      </c>
      <c r="D19" t="inlineStr">
        <is>
          <t>VÄSTRA GÖTALANDS LÄN</t>
        </is>
      </c>
      <c r="E19" t="inlineStr">
        <is>
          <t>ALINGSÅS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54431-2018</t>
        </is>
      </c>
      <c r="B20" s="1" t="n">
        <v>43395</v>
      </c>
      <c r="C20" s="1" t="n">
        <v>45345</v>
      </c>
      <c r="D20" t="inlineStr">
        <is>
          <t>VÄSTRA GÖTALANDS LÄN</t>
        </is>
      </c>
      <c r="E20" t="inlineStr">
        <is>
          <t>ALINGSÅS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58835-2018</t>
        </is>
      </c>
      <c r="B21" s="1" t="n">
        <v>43410</v>
      </c>
      <c r="C21" s="1" t="n">
        <v>45345</v>
      </c>
      <c r="D21" t="inlineStr">
        <is>
          <t>VÄSTRA GÖTALANDS LÄN</t>
        </is>
      </c>
      <c r="E21" t="inlineStr">
        <is>
          <t>ALINGSÅS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60936-2018</t>
        </is>
      </c>
      <c r="B22" s="1" t="n">
        <v>43423</v>
      </c>
      <c r="C22" s="1" t="n">
        <v>45345</v>
      </c>
      <c r="D22" t="inlineStr">
        <is>
          <t>VÄSTRA GÖTALANDS LÄN</t>
        </is>
      </c>
      <c r="E22" t="inlineStr">
        <is>
          <t>ALINGSÅS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64194-2018</t>
        </is>
      </c>
      <c r="B23" s="1" t="n">
        <v>43430</v>
      </c>
      <c r="C23" s="1" t="n">
        <v>45345</v>
      </c>
      <c r="D23" t="inlineStr">
        <is>
          <t>VÄSTRA GÖTALANDS LÄN</t>
        </is>
      </c>
      <c r="E23" t="inlineStr">
        <is>
          <t>ALINGSÅS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64289-2018</t>
        </is>
      </c>
      <c r="B24" s="1" t="n">
        <v>43430</v>
      </c>
      <c r="C24" s="1" t="n">
        <v>45345</v>
      </c>
      <c r="D24" t="inlineStr">
        <is>
          <t>VÄSTRA GÖTALANDS LÄN</t>
        </is>
      </c>
      <c r="E24" t="inlineStr">
        <is>
          <t>ALINGSÅS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64871-2018</t>
        </is>
      </c>
      <c r="B25" s="1" t="n">
        <v>43431</v>
      </c>
      <c r="C25" s="1" t="n">
        <v>45345</v>
      </c>
      <c r="D25" t="inlineStr">
        <is>
          <t>VÄSTRA GÖTALANDS LÄN</t>
        </is>
      </c>
      <c r="E25" t="inlineStr">
        <is>
          <t>ALINGSÅS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67153-2018</t>
        </is>
      </c>
      <c r="B26" s="1" t="n">
        <v>43438</v>
      </c>
      <c r="C26" s="1" t="n">
        <v>45345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68567-2018</t>
        </is>
      </c>
      <c r="B27" s="1" t="n">
        <v>43444</v>
      </c>
      <c r="C27" s="1" t="n">
        <v>45345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68580-2018</t>
        </is>
      </c>
      <c r="B28" s="1" t="n">
        <v>43444</v>
      </c>
      <c r="C28" s="1" t="n">
        <v>45345</v>
      </c>
      <c r="D28" t="inlineStr">
        <is>
          <t>VÄSTRA GÖTALANDS LÄN</t>
        </is>
      </c>
      <c r="E28" t="inlineStr">
        <is>
          <t>ALINGSÅS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68566-2018</t>
        </is>
      </c>
      <c r="B29" s="1" t="n">
        <v>43444</v>
      </c>
      <c r="C29" s="1" t="n">
        <v>45345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70335-2018</t>
        </is>
      </c>
      <c r="B30" s="1" t="n">
        <v>43446</v>
      </c>
      <c r="C30" s="1" t="n">
        <v>45345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70334-2018</t>
        </is>
      </c>
      <c r="B31" s="1" t="n">
        <v>43446</v>
      </c>
      <c r="C31" s="1" t="n">
        <v>45345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69941-2018</t>
        </is>
      </c>
      <c r="B32" s="1" t="n">
        <v>43447</v>
      </c>
      <c r="C32" s="1" t="n">
        <v>45345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71499-2018</t>
        </is>
      </c>
      <c r="B33" s="1" t="n">
        <v>43453</v>
      </c>
      <c r="C33" s="1" t="n">
        <v>45345</v>
      </c>
      <c r="D33" t="inlineStr">
        <is>
          <t>VÄSTRA GÖTALANDS LÄN</t>
        </is>
      </c>
      <c r="E33" t="inlineStr">
        <is>
          <t>ALINGSÅS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1797-2019</t>
        </is>
      </c>
      <c r="B34" s="1" t="n">
        <v>43462</v>
      </c>
      <c r="C34" s="1" t="n">
        <v>45345</v>
      </c>
      <c r="D34" t="inlineStr">
        <is>
          <t>VÄSTRA GÖTALANDS LÄN</t>
        </is>
      </c>
      <c r="E34" t="inlineStr">
        <is>
          <t>ALINGSÅS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1738-2019</t>
        </is>
      </c>
      <c r="B35" s="1" t="n">
        <v>43462</v>
      </c>
      <c r="C35" s="1" t="n">
        <v>45345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1799-2019</t>
        </is>
      </c>
      <c r="B36" s="1" t="n">
        <v>43462</v>
      </c>
      <c r="C36" s="1" t="n">
        <v>45345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337-2019</t>
        </is>
      </c>
      <c r="B37" s="1" t="n">
        <v>43468</v>
      </c>
      <c r="C37" s="1" t="n">
        <v>45345</v>
      </c>
      <c r="D37" t="inlineStr">
        <is>
          <t>VÄSTRA GÖTALANDS LÄN</t>
        </is>
      </c>
      <c r="E37" t="inlineStr">
        <is>
          <t>ALINGSÅS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3525-2019</t>
        </is>
      </c>
      <c r="B38" s="1" t="n">
        <v>43474</v>
      </c>
      <c r="C38" s="1" t="n">
        <v>45345</v>
      </c>
      <c r="D38" t="inlineStr">
        <is>
          <t>VÄSTRA GÖTALANDS LÄN</t>
        </is>
      </c>
      <c r="E38" t="inlineStr">
        <is>
          <t>ALINGSÅS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7262-2019</t>
        </is>
      </c>
      <c r="B39" s="1" t="n">
        <v>43489</v>
      </c>
      <c r="C39" s="1" t="n">
        <v>45345</v>
      </c>
      <c r="D39" t="inlineStr">
        <is>
          <t>VÄSTRA GÖTALANDS LÄN</t>
        </is>
      </c>
      <c r="E39" t="inlineStr">
        <is>
          <t>ALINGSÅS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5786-2019</t>
        </is>
      </c>
      <c r="B40" s="1" t="n">
        <v>43490</v>
      </c>
      <c r="C40" s="1" t="n">
        <v>45345</v>
      </c>
      <c r="D40" t="inlineStr">
        <is>
          <t>VÄSTRA GÖTALANDS LÄN</t>
        </is>
      </c>
      <c r="E40" t="inlineStr">
        <is>
          <t>ALINGSÅS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6630-2019</t>
        </is>
      </c>
      <c r="B41" s="1" t="n">
        <v>43494</v>
      </c>
      <c r="C41" s="1" t="n">
        <v>45345</v>
      </c>
      <c r="D41" t="inlineStr">
        <is>
          <t>VÄSTRA GÖTALANDS LÄN</t>
        </is>
      </c>
      <c r="E41" t="inlineStr">
        <is>
          <t>ALINGSÅS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6632-2019</t>
        </is>
      </c>
      <c r="B42" s="1" t="n">
        <v>43494</v>
      </c>
      <c r="C42" s="1" t="n">
        <v>45345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6461-2019</t>
        </is>
      </c>
      <c r="B43" s="1" t="n">
        <v>43494</v>
      </c>
      <c r="C43" s="1" t="n">
        <v>45345</v>
      </c>
      <c r="D43" t="inlineStr">
        <is>
          <t>VÄSTRA GÖTALANDS LÄN</t>
        </is>
      </c>
      <c r="E43" t="inlineStr">
        <is>
          <t>ALINGSÅS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6963-2019</t>
        </is>
      </c>
      <c r="B44" s="1" t="n">
        <v>43495</v>
      </c>
      <c r="C44" s="1" t="n">
        <v>45345</v>
      </c>
      <c r="D44" t="inlineStr">
        <is>
          <t>VÄSTRA GÖTALANDS LÄN</t>
        </is>
      </c>
      <c r="E44" t="inlineStr">
        <is>
          <t>ALINGSÅS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6964-2019</t>
        </is>
      </c>
      <c r="B45" s="1" t="n">
        <v>43495</v>
      </c>
      <c r="C45" s="1" t="n">
        <v>45345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11598-2019</t>
        </is>
      </c>
      <c r="B46" s="1" t="n">
        <v>43518</v>
      </c>
      <c r="C46" s="1" t="n">
        <v>45345</v>
      </c>
      <c r="D46" t="inlineStr">
        <is>
          <t>VÄSTRA GÖTALANDS LÄN</t>
        </is>
      </c>
      <c r="E46" t="inlineStr">
        <is>
          <t>ALINGSÅS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16817-2019</t>
        </is>
      </c>
      <c r="B47" s="1" t="n">
        <v>43549</v>
      </c>
      <c r="C47" s="1" t="n">
        <v>45345</v>
      </c>
      <c r="D47" t="inlineStr">
        <is>
          <t>VÄSTRA GÖTALANDS LÄN</t>
        </is>
      </c>
      <c r="E47" t="inlineStr">
        <is>
          <t>ALINGSÅS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17734-2019</t>
        </is>
      </c>
      <c r="B48" s="1" t="n">
        <v>43556</v>
      </c>
      <c r="C48" s="1" t="n">
        <v>45345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18080-2019</t>
        </is>
      </c>
      <c r="B49" s="1" t="n">
        <v>43558</v>
      </c>
      <c r="C49" s="1" t="n">
        <v>45345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19460-2019</t>
        </is>
      </c>
      <c r="B50" s="1" t="n">
        <v>43565</v>
      </c>
      <c r="C50" s="1" t="n">
        <v>45345</v>
      </c>
      <c r="D50" t="inlineStr">
        <is>
          <t>VÄSTRA GÖTALANDS LÄN</t>
        </is>
      </c>
      <c r="E50" t="inlineStr">
        <is>
          <t>ALINGSÅS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20231-2019</t>
        </is>
      </c>
      <c r="B51" s="1" t="n">
        <v>43571</v>
      </c>
      <c r="C51" s="1" t="n">
        <v>45345</v>
      </c>
      <c r="D51" t="inlineStr">
        <is>
          <t>VÄSTRA GÖTALANDS LÄN</t>
        </is>
      </c>
      <c r="E51" t="inlineStr">
        <is>
          <t>ALINGSÅS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20977-2019</t>
        </is>
      </c>
      <c r="B52" s="1" t="n">
        <v>43578</v>
      </c>
      <c r="C52" s="1" t="n">
        <v>45345</v>
      </c>
      <c r="D52" t="inlineStr">
        <is>
          <t>VÄSTRA GÖTALANDS LÄN</t>
        </is>
      </c>
      <c r="E52" t="inlineStr">
        <is>
          <t>ALINGSÅS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21902-2019</t>
        </is>
      </c>
      <c r="B53" s="1" t="n">
        <v>43584</v>
      </c>
      <c r="C53" s="1" t="n">
        <v>45345</v>
      </c>
      <c r="D53" t="inlineStr">
        <is>
          <t>VÄSTRA GÖTALANDS LÄN</t>
        </is>
      </c>
      <c r="E53" t="inlineStr">
        <is>
          <t>ALINGSÅS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22930-2019</t>
        </is>
      </c>
      <c r="B54" s="1" t="n">
        <v>43591</v>
      </c>
      <c r="C54" s="1" t="n">
        <v>45345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23223-2019</t>
        </is>
      </c>
      <c r="B55" s="1" t="n">
        <v>43592</v>
      </c>
      <c r="C55" s="1" t="n">
        <v>45345</v>
      </c>
      <c r="D55" t="inlineStr">
        <is>
          <t>VÄSTRA GÖTALANDS LÄN</t>
        </is>
      </c>
      <c r="E55" t="inlineStr">
        <is>
          <t>ALINGSÅS</t>
        </is>
      </c>
      <c r="F55" t="inlineStr">
        <is>
          <t>Kommuner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23220-2019</t>
        </is>
      </c>
      <c r="B56" s="1" t="n">
        <v>43592</v>
      </c>
      <c r="C56" s="1" t="n">
        <v>45345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24205-2019</t>
        </is>
      </c>
      <c r="B57" s="1" t="n">
        <v>43599</v>
      </c>
      <c r="C57" s="1" t="n">
        <v>45345</v>
      </c>
      <c r="D57" t="inlineStr">
        <is>
          <t>VÄSTRA GÖTALANDS LÄN</t>
        </is>
      </c>
      <c r="E57" t="inlineStr">
        <is>
          <t>ALINGSÅS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25649-2019</t>
        </is>
      </c>
      <c r="B58" s="1" t="n">
        <v>43602</v>
      </c>
      <c r="C58" s="1" t="n">
        <v>45345</v>
      </c>
      <c r="D58" t="inlineStr">
        <is>
          <t>VÄSTRA GÖTALANDS LÄN</t>
        </is>
      </c>
      <c r="E58" t="inlineStr">
        <is>
          <t>ALINGSÅS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25646-2019</t>
        </is>
      </c>
      <c r="B59" s="1" t="n">
        <v>43602</v>
      </c>
      <c r="C59" s="1" t="n">
        <v>45345</v>
      </c>
      <c r="D59" t="inlineStr">
        <is>
          <t>VÄSTRA GÖTALANDS LÄN</t>
        </is>
      </c>
      <c r="E59" t="inlineStr">
        <is>
          <t>ALINGSÅS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25728-2019</t>
        </is>
      </c>
      <c r="B60" s="1" t="n">
        <v>43608</v>
      </c>
      <c r="C60" s="1" t="n">
        <v>45345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26386-2019</t>
        </is>
      </c>
      <c r="B61" s="1" t="n">
        <v>43612</v>
      </c>
      <c r="C61" s="1" t="n">
        <v>45345</v>
      </c>
      <c r="D61" t="inlineStr">
        <is>
          <t>VÄSTRA GÖTALANDS LÄN</t>
        </is>
      </c>
      <c r="E61" t="inlineStr">
        <is>
          <t>ALINGSÅS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26387-2019</t>
        </is>
      </c>
      <c r="B62" s="1" t="n">
        <v>43612</v>
      </c>
      <c r="C62" s="1" t="n">
        <v>45345</v>
      </c>
      <c r="D62" t="inlineStr">
        <is>
          <t>VÄSTRA GÖTALANDS LÄN</t>
        </is>
      </c>
      <c r="E62" t="inlineStr">
        <is>
          <t>ALINGSÅS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27943-2019</t>
        </is>
      </c>
      <c r="B63" s="1" t="n">
        <v>43620</v>
      </c>
      <c r="C63" s="1" t="n">
        <v>45345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29040-2019</t>
        </is>
      </c>
      <c r="B64" s="1" t="n">
        <v>43628</v>
      </c>
      <c r="C64" s="1" t="n">
        <v>45345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30231-2019</t>
        </is>
      </c>
      <c r="B65" s="1" t="n">
        <v>43630</v>
      </c>
      <c r="C65" s="1" t="n">
        <v>45345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30454-2019</t>
        </is>
      </c>
      <c r="B66" s="1" t="n">
        <v>43633</v>
      </c>
      <c r="C66" s="1" t="n">
        <v>45345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30516-2019</t>
        </is>
      </c>
      <c r="B67" s="1" t="n">
        <v>43635</v>
      </c>
      <c r="C67" s="1" t="n">
        <v>45345</v>
      </c>
      <c r="D67" t="inlineStr">
        <is>
          <t>VÄSTRA GÖTALANDS LÄN</t>
        </is>
      </c>
      <c r="E67" t="inlineStr">
        <is>
          <t>ALINGSÅS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30908-2019</t>
        </is>
      </c>
      <c r="B68" s="1" t="n">
        <v>43636</v>
      </c>
      <c r="C68" s="1" t="n">
        <v>45345</v>
      </c>
      <c r="D68" t="inlineStr">
        <is>
          <t>VÄSTRA GÖTALANDS LÄN</t>
        </is>
      </c>
      <c r="E68" t="inlineStr">
        <is>
          <t>ALINGSÅS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32951-2019</t>
        </is>
      </c>
      <c r="B69" s="1" t="n">
        <v>43648</v>
      </c>
      <c r="C69" s="1" t="n">
        <v>45345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32947-2019</t>
        </is>
      </c>
      <c r="B70" s="1" t="n">
        <v>43648</v>
      </c>
      <c r="C70" s="1" t="n">
        <v>45345</v>
      </c>
      <c r="D70" t="inlineStr">
        <is>
          <t>VÄSTRA GÖTALANDS LÄN</t>
        </is>
      </c>
      <c r="E70" t="inlineStr">
        <is>
          <t>ALINGSÅS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33366-2019</t>
        </is>
      </c>
      <c r="B71" s="1" t="n">
        <v>43650</v>
      </c>
      <c r="C71" s="1" t="n">
        <v>45345</v>
      </c>
      <c r="D71" t="inlineStr">
        <is>
          <t>VÄSTRA GÖTALANDS LÄN</t>
        </is>
      </c>
      <c r="E71" t="inlineStr">
        <is>
          <t>ALINGSÅS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33885-2019</t>
        </is>
      </c>
      <c r="B72" s="1" t="n">
        <v>43653</v>
      </c>
      <c r="C72" s="1" t="n">
        <v>45345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34662-2019</t>
        </is>
      </c>
      <c r="B73" s="1" t="n">
        <v>43657</v>
      </c>
      <c r="C73" s="1" t="n">
        <v>45345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34941-2019</t>
        </is>
      </c>
      <c r="B74" s="1" t="n">
        <v>43658</v>
      </c>
      <c r="C74" s="1" t="n">
        <v>45345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35951-2019</t>
        </is>
      </c>
      <c r="B75" s="1" t="n">
        <v>43665</v>
      </c>
      <c r="C75" s="1" t="n">
        <v>45345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37361-2019</t>
        </is>
      </c>
      <c r="B76" s="1" t="n">
        <v>43678</v>
      </c>
      <c r="C76" s="1" t="n">
        <v>45345</v>
      </c>
      <c r="D76" t="inlineStr">
        <is>
          <t>VÄSTRA GÖTALANDS LÄN</t>
        </is>
      </c>
      <c r="E76" t="inlineStr">
        <is>
          <t>ALINGSÅS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38192-2019</t>
        </is>
      </c>
      <c r="B77" s="1" t="n">
        <v>43684</v>
      </c>
      <c r="C77" s="1" t="n">
        <v>45345</v>
      </c>
      <c r="D77" t="inlineStr">
        <is>
          <t>VÄSTRA GÖTALANDS LÄN</t>
        </is>
      </c>
      <c r="E77" t="inlineStr">
        <is>
          <t>ALINGSÅS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38195-2019</t>
        </is>
      </c>
      <c r="B78" s="1" t="n">
        <v>43684</v>
      </c>
      <c r="C78" s="1" t="n">
        <v>45345</v>
      </c>
      <c r="D78" t="inlineStr">
        <is>
          <t>VÄSTRA GÖTALANDS LÄN</t>
        </is>
      </c>
      <c r="E78" t="inlineStr">
        <is>
          <t>ALINGSÅS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38730-2019</t>
        </is>
      </c>
      <c r="B79" s="1" t="n">
        <v>43686</v>
      </c>
      <c r="C79" s="1" t="n">
        <v>45345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40388-2019</t>
        </is>
      </c>
      <c r="B80" s="1" t="n">
        <v>43696</v>
      </c>
      <c r="C80" s="1" t="n">
        <v>45345</v>
      </c>
      <c r="D80" t="inlineStr">
        <is>
          <t>VÄSTRA GÖTALANDS LÄN</t>
        </is>
      </c>
      <c r="E80" t="inlineStr">
        <is>
          <t>ALINGSÅS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41113-2019</t>
        </is>
      </c>
      <c r="B81" s="1" t="n">
        <v>43698</v>
      </c>
      <c r="C81" s="1" t="n">
        <v>45345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41723-2019</t>
        </is>
      </c>
      <c r="B82" s="1" t="n">
        <v>43699</v>
      </c>
      <c r="C82" s="1" t="n">
        <v>45345</v>
      </c>
      <c r="D82" t="inlineStr">
        <is>
          <t>VÄSTRA GÖTALANDS LÄN</t>
        </is>
      </c>
      <c r="E82" t="inlineStr">
        <is>
          <t>ALINGSÅS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44389-2019</t>
        </is>
      </c>
      <c r="B83" s="1" t="n">
        <v>43711</v>
      </c>
      <c r="C83" s="1" t="n">
        <v>45345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46561-2019</t>
        </is>
      </c>
      <c r="B84" s="1" t="n">
        <v>43719</v>
      </c>
      <c r="C84" s="1" t="n">
        <v>45345</v>
      </c>
      <c r="D84" t="inlineStr">
        <is>
          <t>VÄSTRA GÖTALANDS LÄN</t>
        </is>
      </c>
      <c r="E84" t="inlineStr">
        <is>
          <t>ALINGSÅS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48319-2019</t>
        </is>
      </c>
      <c r="B85" s="1" t="n">
        <v>43726</v>
      </c>
      <c r="C85" s="1" t="n">
        <v>45345</v>
      </c>
      <c r="D85" t="inlineStr">
        <is>
          <t>VÄSTRA GÖTALANDS LÄN</t>
        </is>
      </c>
      <c r="E85" t="inlineStr">
        <is>
          <t>ALINGSÅS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48322-2019</t>
        </is>
      </c>
      <c r="B86" s="1" t="n">
        <v>43726</v>
      </c>
      <c r="C86" s="1" t="n">
        <v>45345</v>
      </c>
      <c r="D86" t="inlineStr">
        <is>
          <t>VÄSTRA GÖTALANDS LÄN</t>
        </is>
      </c>
      <c r="E86" t="inlineStr">
        <is>
          <t>ALINGSÅS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49787-2019</t>
        </is>
      </c>
      <c r="B87" s="1" t="n">
        <v>43733</v>
      </c>
      <c r="C87" s="1" t="n">
        <v>45345</v>
      </c>
      <c r="D87" t="inlineStr">
        <is>
          <t>VÄSTRA GÖTALANDS LÄN</t>
        </is>
      </c>
      <c r="E87" t="inlineStr">
        <is>
          <t>ALINGSÅS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50210-2019</t>
        </is>
      </c>
      <c r="B88" s="1" t="n">
        <v>43734</v>
      </c>
      <c r="C88" s="1" t="n">
        <v>45345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50236-2019</t>
        </is>
      </c>
      <c r="B89" s="1" t="n">
        <v>43734</v>
      </c>
      <c r="C89" s="1" t="n">
        <v>45345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50363-2019</t>
        </is>
      </c>
      <c r="B90" s="1" t="n">
        <v>43735</v>
      </c>
      <c r="C90" s="1" t="n">
        <v>45345</v>
      </c>
      <c r="D90" t="inlineStr">
        <is>
          <t>VÄSTRA GÖTALANDS LÄN</t>
        </is>
      </c>
      <c r="E90" t="inlineStr">
        <is>
          <t>ALINGSÅS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50832-2019</t>
        </is>
      </c>
      <c r="B91" s="1" t="n">
        <v>43738</v>
      </c>
      <c r="C91" s="1" t="n">
        <v>45345</v>
      </c>
      <c r="D91" t="inlineStr">
        <is>
          <t>VÄSTRA GÖTALANDS LÄN</t>
        </is>
      </c>
      <c r="E91" t="inlineStr">
        <is>
          <t>ALINGSÅS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52060-2019</t>
        </is>
      </c>
      <c r="B92" s="1" t="n">
        <v>43742</v>
      </c>
      <c r="C92" s="1" t="n">
        <v>45345</v>
      </c>
      <c r="D92" t="inlineStr">
        <is>
          <t>VÄSTRA GÖTALANDS LÄN</t>
        </is>
      </c>
      <c r="E92" t="inlineStr">
        <is>
          <t>ALINGSÅS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56953-2019</t>
        </is>
      </c>
      <c r="B93" s="1" t="n">
        <v>43766</v>
      </c>
      <c r="C93" s="1" t="n">
        <v>45345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58907-2019</t>
        </is>
      </c>
      <c r="B94" s="1" t="n">
        <v>43774</v>
      </c>
      <c r="C94" s="1" t="n">
        <v>45345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61427-2019</t>
        </is>
      </c>
      <c r="B95" s="1" t="n">
        <v>43783</v>
      </c>
      <c r="C95" s="1" t="n">
        <v>45345</v>
      </c>
      <c r="D95" t="inlineStr">
        <is>
          <t>VÄSTRA GÖTALANDS LÄN</t>
        </is>
      </c>
      <c r="E95" t="inlineStr">
        <is>
          <t>ALINGSÅS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61766-2019</t>
        </is>
      </c>
      <c r="B96" s="1" t="n">
        <v>43784</v>
      </c>
      <c r="C96" s="1" t="n">
        <v>45345</v>
      </c>
      <c r="D96" t="inlineStr">
        <is>
          <t>VÄSTRA GÖTALANDS LÄN</t>
        </is>
      </c>
      <c r="E96" t="inlineStr">
        <is>
          <t>ALINGSÅS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61706-2019</t>
        </is>
      </c>
      <c r="B97" s="1" t="n">
        <v>43784</v>
      </c>
      <c r="C97" s="1" t="n">
        <v>45345</v>
      </c>
      <c r="D97" t="inlineStr">
        <is>
          <t>VÄSTRA GÖTALANDS LÄN</t>
        </is>
      </c>
      <c r="E97" t="inlineStr">
        <is>
          <t>ALINGSÅS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62223-2019</t>
        </is>
      </c>
      <c r="B98" s="1" t="n">
        <v>43788</v>
      </c>
      <c r="C98" s="1" t="n">
        <v>45345</v>
      </c>
      <c r="D98" t="inlineStr">
        <is>
          <t>VÄSTRA GÖTALANDS LÄN</t>
        </is>
      </c>
      <c r="E98" t="inlineStr">
        <is>
          <t>ALINGSÅS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62996-2019</t>
        </is>
      </c>
      <c r="B99" s="1" t="n">
        <v>43790</v>
      </c>
      <c r="C99" s="1" t="n">
        <v>45345</v>
      </c>
      <c r="D99" t="inlineStr">
        <is>
          <t>VÄSTRA GÖTALANDS LÄN</t>
        </is>
      </c>
      <c r="E99" t="inlineStr">
        <is>
          <t>ALINGSÅS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63542-2019</t>
        </is>
      </c>
      <c r="B100" s="1" t="n">
        <v>43794</v>
      </c>
      <c r="C100" s="1" t="n">
        <v>45345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63705-2019</t>
        </is>
      </c>
      <c r="B101" s="1" t="n">
        <v>43795</v>
      </c>
      <c r="C101" s="1" t="n">
        <v>45345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65209-2019</t>
        </is>
      </c>
      <c r="B102" s="1" t="n">
        <v>43802</v>
      </c>
      <c r="C102" s="1" t="n">
        <v>45345</v>
      </c>
      <c r="D102" t="inlineStr">
        <is>
          <t>VÄSTRA GÖTALANDS LÄN</t>
        </is>
      </c>
      <c r="E102" t="inlineStr">
        <is>
          <t>ALINGSÅS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67326-2019</t>
        </is>
      </c>
      <c r="B103" s="1" t="n">
        <v>43812</v>
      </c>
      <c r="C103" s="1" t="n">
        <v>45345</v>
      </c>
      <c r="D103" t="inlineStr">
        <is>
          <t>VÄSTRA GÖTALANDS LÄN</t>
        </is>
      </c>
      <c r="E103" t="inlineStr">
        <is>
          <t>ALINGSÅS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67895-2019</t>
        </is>
      </c>
      <c r="B104" s="1" t="n">
        <v>43816</v>
      </c>
      <c r="C104" s="1" t="n">
        <v>45345</v>
      </c>
      <c r="D104" t="inlineStr">
        <is>
          <t>VÄSTRA GÖTALANDS LÄN</t>
        </is>
      </c>
      <c r="E104" t="inlineStr">
        <is>
          <t>ALINGSÅS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68909-2019</t>
        </is>
      </c>
      <c r="B105" s="1" t="n">
        <v>43822</v>
      </c>
      <c r="C105" s="1" t="n">
        <v>45345</v>
      </c>
      <c r="D105" t="inlineStr">
        <is>
          <t>VÄSTRA GÖTALANDS LÄN</t>
        </is>
      </c>
      <c r="E105" t="inlineStr">
        <is>
          <t>ALINGSÅS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355-2020</t>
        </is>
      </c>
      <c r="B106" s="1" t="n">
        <v>43837</v>
      </c>
      <c r="C106" s="1" t="n">
        <v>45345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1044-2020</t>
        </is>
      </c>
      <c r="B107" s="1" t="n">
        <v>43839</v>
      </c>
      <c r="C107" s="1" t="n">
        <v>45345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1521-2020</t>
        </is>
      </c>
      <c r="B108" s="1" t="n">
        <v>43843</v>
      </c>
      <c r="C108" s="1" t="n">
        <v>45345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1835-2020</t>
        </is>
      </c>
      <c r="B109" s="1" t="n">
        <v>43844</v>
      </c>
      <c r="C109" s="1" t="n">
        <v>45345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1949-2020</t>
        </is>
      </c>
      <c r="B110" s="1" t="n">
        <v>43845</v>
      </c>
      <c r="C110" s="1" t="n">
        <v>45345</v>
      </c>
      <c r="D110" t="inlineStr">
        <is>
          <t>VÄSTRA GÖTALANDS LÄN</t>
        </is>
      </c>
      <c r="E110" t="inlineStr">
        <is>
          <t>ALINGSÅS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2257-2020</t>
        </is>
      </c>
      <c r="B111" s="1" t="n">
        <v>43846</v>
      </c>
      <c r="C111" s="1" t="n">
        <v>45345</v>
      </c>
      <c r="D111" t="inlineStr">
        <is>
          <t>VÄSTRA GÖTALANDS LÄN</t>
        </is>
      </c>
      <c r="E111" t="inlineStr">
        <is>
          <t>ALINGSÅS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2632-2020</t>
        </is>
      </c>
      <c r="B112" s="1" t="n">
        <v>43847</v>
      </c>
      <c r="C112" s="1" t="n">
        <v>45345</v>
      </c>
      <c r="D112" t="inlineStr">
        <is>
          <t>VÄSTRA GÖTALANDS LÄN</t>
        </is>
      </c>
      <c r="E112" t="inlineStr">
        <is>
          <t>ALINGSÅS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5847-2020</t>
        </is>
      </c>
      <c r="B113" s="1" t="n">
        <v>43864</v>
      </c>
      <c r="C113" s="1" t="n">
        <v>45345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8292-2020</t>
        </is>
      </c>
      <c r="B114" s="1" t="n">
        <v>43875</v>
      </c>
      <c r="C114" s="1" t="n">
        <v>45345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9133-2020</t>
        </is>
      </c>
      <c r="B115" s="1" t="n">
        <v>43879</v>
      </c>
      <c r="C115" s="1" t="n">
        <v>45345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9126-2020</t>
        </is>
      </c>
      <c r="B116" s="1" t="n">
        <v>43879</v>
      </c>
      <c r="C116" s="1" t="n">
        <v>45345</v>
      </c>
      <c r="D116" t="inlineStr">
        <is>
          <t>VÄSTRA GÖTALANDS LÄN</t>
        </is>
      </c>
      <c r="E116" t="inlineStr">
        <is>
          <t>ALINGSÅS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9854-2020</t>
        </is>
      </c>
      <c r="B117" s="1" t="n">
        <v>43882</v>
      </c>
      <c r="C117" s="1" t="n">
        <v>45345</v>
      </c>
      <c r="D117" t="inlineStr">
        <is>
          <t>VÄSTRA GÖTALANDS LÄN</t>
        </is>
      </c>
      <c r="E117" t="inlineStr">
        <is>
          <t>ALINGSÅS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10520-2020</t>
        </is>
      </c>
      <c r="B118" s="1" t="n">
        <v>43886</v>
      </c>
      <c r="C118" s="1" t="n">
        <v>45345</v>
      </c>
      <c r="D118" t="inlineStr">
        <is>
          <t>VÄSTRA GÖTALANDS LÄN</t>
        </is>
      </c>
      <c r="E118" t="inlineStr">
        <is>
          <t>ALINGSÅS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10113-2020</t>
        </is>
      </c>
      <c r="B119" s="1" t="n">
        <v>43887</v>
      </c>
      <c r="C119" s="1" t="n">
        <v>45345</v>
      </c>
      <c r="D119" t="inlineStr">
        <is>
          <t>VÄSTRA GÖTALANDS LÄN</t>
        </is>
      </c>
      <c r="E119" t="inlineStr">
        <is>
          <t>ALINGSÅS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11309-2020</t>
        </is>
      </c>
      <c r="B120" s="1" t="n">
        <v>43892</v>
      </c>
      <c r="C120" s="1" t="n">
        <v>45345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11306-2020</t>
        </is>
      </c>
      <c r="B121" s="1" t="n">
        <v>43892</v>
      </c>
      <c r="C121" s="1" t="n">
        <v>45345</v>
      </c>
      <c r="D121" t="inlineStr">
        <is>
          <t>VÄSTRA GÖTALANDS LÄN</t>
        </is>
      </c>
      <c r="E121" t="inlineStr">
        <is>
          <t>ALINGSÅS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12183-2020</t>
        </is>
      </c>
      <c r="B122" s="1" t="n">
        <v>43895</v>
      </c>
      <c r="C122" s="1" t="n">
        <v>45345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13024-2020</t>
        </is>
      </c>
      <c r="B123" s="1" t="n">
        <v>43900</v>
      </c>
      <c r="C123" s="1" t="n">
        <v>45345</v>
      </c>
      <c r="D123" t="inlineStr">
        <is>
          <t>VÄSTRA GÖTALANDS LÄN</t>
        </is>
      </c>
      <c r="E123" t="inlineStr">
        <is>
          <t>ALINGSÅS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14346-2020</t>
        </is>
      </c>
      <c r="B124" s="1" t="n">
        <v>43908</v>
      </c>
      <c r="C124" s="1" t="n">
        <v>45345</v>
      </c>
      <c r="D124" t="inlineStr">
        <is>
          <t>VÄSTRA GÖTALANDS LÄN</t>
        </is>
      </c>
      <c r="E124" t="inlineStr">
        <is>
          <t>ALINGSÅS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16150-2020</t>
        </is>
      </c>
      <c r="B125" s="1" t="n">
        <v>43916</v>
      </c>
      <c r="C125" s="1" t="n">
        <v>45345</v>
      </c>
      <c r="D125" t="inlineStr">
        <is>
          <t>VÄSTRA GÖTALANDS LÄN</t>
        </is>
      </c>
      <c r="E125" t="inlineStr">
        <is>
          <t>ALINGSÅS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16151-2020</t>
        </is>
      </c>
      <c r="B126" s="1" t="n">
        <v>43916</v>
      </c>
      <c r="C126" s="1" t="n">
        <v>45345</v>
      </c>
      <c r="D126" t="inlineStr">
        <is>
          <t>VÄSTRA GÖTALANDS LÄN</t>
        </is>
      </c>
      <c r="E126" t="inlineStr">
        <is>
          <t>ALINGSÅS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17497-2020</t>
        </is>
      </c>
      <c r="B127" s="1" t="n">
        <v>43920</v>
      </c>
      <c r="C127" s="1" t="n">
        <v>45345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17321-2020</t>
        </is>
      </c>
      <c r="B128" s="1" t="n">
        <v>43922</v>
      </c>
      <c r="C128" s="1" t="n">
        <v>45345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18042-2020</t>
        </is>
      </c>
      <c r="B129" s="1" t="n">
        <v>43927</v>
      </c>
      <c r="C129" s="1" t="n">
        <v>45345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18317-2020</t>
        </is>
      </c>
      <c r="B130" s="1" t="n">
        <v>43928</v>
      </c>
      <c r="C130" s="1" t="n">
        <v>45345</v>
      </c>
      <c r="D130" t="inlineStr">
        <is>
          <t>VÄSTRA GÖTALANDS LÄN</t>
        </is>
      </c>
      <c r="E130" t="inlineStr">
        <is>
          <t>ALINGSÅS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19008-2020</t>
        </is>
      </c>
      <c r="B131" s="1" t="n">
        <v>43936</v>
      </c>
      <c r="C131" s="1" t="n">
        <v>45345</v>
      </c>
      <c r="D131" t="inlineStr">
        <is>
          <t>VÄSTRA GÖTALANDS LÄN</t>
        </is>
      </c>
      <c r="E131" t="inlineStr">
        <is>
          <t>ALINGSÅS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19441-2020</t>
        </is>
      </c>
      <c r="B132" s="1" t="n">
        <v>43938</v>
      </c>
      <c r="C132" s="1" t="n">
        <v>45345</v>
      </c>
      <c r="D132" t="inlineStr">
        <is>
          <t>VÄSTRA GÖTALANDS LÄN</t>
        </is>
      </c>
      <c r="E132" t="inlineStr">
        <is>
          <t>ALINGSÅS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19534-2020</t>
        </is>
      </c>
      <c r="B133" s="1" t="n">
        <v>43941</v>
      </c>
      <c r="C133" s="1" t="n">
        <v>45345</v>
      </c>
      <c r="D133" t="inlineStr">
        <is>
          <t>VÄSTRA GÖTALANDS LÄN</t>
        </is>
      </c>
      <c r="E133" t="inlineStr">
        <is>
          <t>ALINGSÅS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20101-2020</t>
        </is>
      </c>
      <c r="B134" s="1" t="n">
        <v>43944</v>
      </c>
      <c r="C134" s="1" t="n">
        <v>45345</v>
      </c>
      <c r="D134" t="inlineStr">
        <is>
          <t>VÄSTRA GÖTALANDS LÄN</t>
        </is>
      </c>
      <c r="E134" t="inlineStr">
        <is>
          <t>ALINGSÅS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20980-2020</t>
        </is>
      </c>
      <c r="B135" s="1" t="n">
        <v>43950</v>
      </c>
      <c r="C135" s="1" t="n">
        <v>45345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21914-2020</t>
        </is>
      </c>
      <c r="B136" s="1" t="n">
        <v>43958</v>
      </c>
      <c r="C136" s="1" t="n">
        <v>45345</v>
      </c>
      <c r="D136" t="inlineStr">
        <is>
          <t>VÄSTRA GÖTALANDS LÄN</t>
        </is>
      </c>
      <c r="E136" t="inlineStr">
        <is>
          <t>ALINGSÅS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22564-2020</t>
        </is>
      </c>
      <c r="B137" s="1" t="n">
        <v>43963</v>
      </c>
      <c r="C137" s="1" t="n">
        <v>45345</v>
      </c>
      <c r="D137" t="inlineStr">
        <is>
          <t>VÄSTRA GÖTALANDS LÄN</t>
        </is>
      </c>
      <c r="E137" t="inlineStr">
        <is>
          <t>ALINGSÅS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24498-2020</t>
        </is>
      </c>
      <c r="B138" s="1" t="n">
        <v>43975</v>
      </c>
      <c r="C138" s="1" t="n">
        <v>45345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24673-2020</t>
        </is>
      </c>
      <c r="B139" s="1" t="n">
        <v>43978</v>
      </c>
      <c r="C139" s="1" t="n">
        <v>45345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25882-2020</t>
        </is>
      </c>
      <c r="B140" s="1" t="n">
        <v>43984</v>
      </c>
      <c r="C140" s="1" t="n">
        <v>45345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26035-2020</t>
        </is>
      </c>
      <c r="B141" s="1" t="n">
        <v>43985</v>
      </c>
      <c r="C141" s="1" t="n">
        <v>45345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26349-2020</t>
        </is>
      </c>
      <c r="B142" s="1" t="n">
        <v>43986</v>
      </c>
      <c r="C142" s="1" t="n">
        <v>45345</v>
      </c>
      <c r="D142" t="inlineStr">
        <is>
          <t>VÄSTRA GÖTALANDS LÄN</t>
        </is>
      </c>
      <c r="E142" t="inlineStr">
        <is>
          <t>ALINGSÅS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26277-2020</t>
        </is>
      </c>
      <c r="B143" s="1" t="n">
        <v>43986</v>
      </c>
      <c r="C143" s="1" t="n">
        <v>45345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27481-2020</t>
        </is>
      </c>
      <c r="B144" s="1" t="n">
        <v>43993</v>
      </c>
      <c r="C144" s="1" t="n">
        <v>45345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27585-2020</t>
        </is>
      </c>
      <c r="B145" s="1" t="n">
        <v>43993</v>
      </c>
      <c r="C145" s="1" t="n">
        <v>45345</v>
      </c>
      <c r="D145" t="inlineStr">
        <is>
          <t>VÄSTRA GÖTALANDS LÄN</t>
        </is>
      </c>
      <c r="E145" t="inlineStr">
        <is>
          <t>ALINGSÅS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27969-2020</t>
        </is>
      </c>
      <c r="B146" s="1" t="n">
        <v>43997</v>
      </c>
      <c r="C146" s="1" t="n">
        <v>45345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30311-2020</t>
        </is>
      </c>
      <c r="B147" s="1" t="n">
        <v>44007</v>
      </c>
      <c r="C147" s="1" t="n">
        <v>45345</v>
      </c>
      <c r="D147" t="inlineStr">
        <is>
          <t>VÄSTRA GÖTALANDS LÄN</t>
        </is>
      </c>
      <c r="E147" t="inlineStr">
        <is>
          <t>ALINGSÅS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31460-2020</t>
        </is>
      </c>
      <c r="B148" s="1" t="n">
        <v>44013</v>
      </c>
      <c r="C148" s="1" t="n">
        <v>45345</v>
      </c>
      <c r="D148" t="inlineStr">
        <is>
          <t>VÄSTRA GÖTALANDS LÄN</t>
        </is>
      </c>
      <c r="E148" t="inlineStr">
        <is>
          <t>ALINGSÅS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31466-2020</t>
        </is>
      </c>
      <c r="B149" s="1" t="n">
        <v>44013</v>
      </c>
      <c r="C149" s="1" t="n">
        <v>45345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31478-2020</t>
        </is>
      </c>
      <c r="B150" s="1" t="n">
        <v>44013</v>
      </c>
      <c r="C150" s="1" t="n">
        <v>45345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33521-2020</t>
        </is>
      </c>
      <c r="B151" s="1" t="n">
        <v>44025</v>
      </c>
      <c r="C151" s="1" t="n">
        <v>45345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36761-2020</t>
        </is>
      </c>
      <c r="B152" s="1" t="n">
        <v>44053</v>
      </c>
      <c r="C152" s="1" t="n">
        <v>45345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49287-2020</t>
        </is>
      </c>
      <c r="B153" s="1" t="n">
        <v>44105</v>
      </c>
      <c r="C153" s="1" t="n">
        <v>45345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51531-2020</t>
        </is>
      </c>
      <c r="B154" s="1" t="n">
        <v>44113</v>
      </c>
      <c r="C154" s="1" t="n">
        <v>45345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51540-2020</t>
        </is>
      </c>
      <c r="B155" s="1" t="n">
        <v>44113</v>
      </c>
      <c r="C155" s="1" t="n">
        <v>45345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52173-2020</t>
        </is>
      </c>
      <c r="B156" s="1" t="n">
        <v>44117</v>
      </c>
      <c r="C156" s="1" t="n">
        <v>45345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53226-2020</t>
        </is>
      </c>
      <c r="B157" s="1" t="n">
        <v>44123</v>
      </c>
      <c r="C157" s="1" t="n">
        <v>45345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55479-2020</t>
        </is>
      </c>
      <c r="B158" s="1" t="n">
        <v>44131</v>
      </c>
      <c r="C158" s="1" t="n">
        <v>45345</v>
      </c>
      <c r="D158" t="inlineStr">
        <is>
          <t>VÄSTRA GÖTALANDS LÄN</t>
        </is>
      </c>
      <c r="E158" t="inlineStr">
        <is>
          <t>ALINGSÅS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55525-2020</t>
        </is>
      </c>
      <c r="B159" s="1" t="n">
        <v>44131</v>
      </c>
      <c r="C159" s="1" t="n">
        <v>45345</v>
      </c>
      <c r="D159" t="inlineStr">
        <is>
          <t>VÄSTRA GÖTALANDS LÄN</t>
        </is>
      </c>
      <c r="E159" t="inlineStr">
        <is>
          <t>ALINGSÅS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57203-2020</t>
        </is>
      </c>
      <c r="B160" s="1" t="n">
        <v>44139</v>
      </c>
      <c r="C160" s="1" t="n">
        <v>45345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59059-2020</t>
        </is>
      </c>
      <c r="B161" s="1" t="n">
        <v>44147</v>
      </c>
      <c r="C161" s="1" t="n">
        <v>45345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63118-2020</t>
        </is>
      </c>
      <c r="B162" s="1" t="n">
        <v>44162</v>
      </c>
      <c r="C162" s="1" t="n">
        <v>45345</v>
      </c>
      <c r="D162" t="inlineStr">
        <is>
          <t>VÄSTRA GÖTALANDS LÄN</t>
        </is>
      </c>
      <c r="E162" t="inlineStr">
        <is>
          <t>ALINGSÅS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63970-2020</t>
        </is>
      </c>
      <c r="B163" s="1" t="n">
        <v>44167</v>
      </c>
      <c r="C163" s="1" t="n">
        <v>45345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64952-2020</t>
        </is>
      </c>
      <c r="B164" s="1" t="n">
        <v>44172</v>
      </c>
      <c r="C164" s="1" t="n">
        <v>45345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67662-2020</t>
        </is>
      </c>
      <c r="B165" s="1" t="n">
        <v>44182</v>
      </c>
      <c r="C165" s="1" t="n">
        <v>45345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211-2021</t>
        </is>
      </c>
      <c r="B166" s="1" t="n">
        <v>44200</v>
      </c>
      <c r="C166" s="1" t="n">
        <v>45345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2400-2021</t>
        </is>
      </c>
      <c r="B167" s="1" t="n">
        <v>44211</v>
      </c>
      <c r="C167" s="1" t="n">
        <v>45345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2455-2021</t>
        </is>
      </c>
      <c r="B168" s="1" t="n">
        <v>44214</v>
      </c>
      <c r="C168" s="1" t="n">
        <v>45345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3451-2021</t>
        </is>
      </c>
      <c r="B169" s="1" t="n">
        <v>44218</v>
      </c>
      <c r="C169" s="1" t="n">
        <v>45345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6391-2021</t>
        </is>
      </c>
      <c r="B170" s="1" t="n">
        <v>44235</v>
      </c>
      <c r="C170" s="1" t="n">
        <v>45345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7652-2021</t>
        </is>
      </c>
      <c r="B171" s="1" t="n">
        <v>44242</v>
      </c>
      <c r="C171" s="1" t="n">
        <v>45345</v>
      </c>
      <c r="D171" t="inlineStr">
        <is>
          <t>VÄSTRA GÖTALANDS LÄN</t>
        </is>
      </c>
      <c r="E171" t="inlineStr">
        <is>
          <t>ALINGSÅS</t>
        </is>
      </c>
      <c r="G171" t="n">
        <v>24.7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7991-2021</t>
        </is>
      </c>
      <c r="B172" s="1" t="n">
        <v>44243</v>
      </c>
      <c r="C172" s="1" t="n">
        <v>45345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8011-2021</t>
        </is>
      </c>
      <c r="B173" s="1" t="n">
        <v>44243</v>
      </c>
      <c r="C173" s="1" t="n">
        <v>45345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9452-2021</t>
        </is>
      </c>
      <c r="B174" s="1" t="n">
        <v>44251</v>
      </c>
      <c r="C174" s="1" t="n">
        <v>45345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9726-2021</t>
        </is>
      </c>
      <c r="B175" s="1" t="n">
        <v>44252</v>
      </c>
      <c r="C175" s="1" t="n">
        <v>45345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10689-2021</t>
        </is>
      </c>
      <c r="B176" s="1" t="n">
        <v>44258</v>
      </c>
      <c r="C176" s="1" t="n">
        <v>45345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11025-2021</t>
        </is>
      </c>
      <c r="B177" s="1" t="n">
        <v>44260</v>
      </c>
      <c r="C177" s="1" t="n">
        <v>45345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11399-2021</t>
        </is>
      </c>
      <c r="B178" s="1" t="n">
        <v>44263</v>
      </c>
      <c r="C178" s="1" t="n">
        <v>45345</v>
      </c>
      <c r="D178" t="inlineStr">
        <is>
          <t>VÄSTRA GÖTALANDS LÄN</t>
        </is>
      </c>
      <c r="E178" t="inlineStr">
        <is>
          <t>ALINGSÅS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11987-2021</t>
        </is>
      </c>
      <c r="B179" s="1" t="n">
        <v>44266</v>
      </c>
      <c r="C179" s="1" t="n">
        <v>45345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12910-2021</t>
        </is>
      </c>
      <c r="B180" s="1" t="n">
        <v>44271</v>
      </c>
      <c r="C180" s="1" t="n">
        <v>45345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17260-2021</t>
        </is>
      </c>
      <c r="B181" s="1" t="n">
        <v>44298</v>
      </c>
      <c r="C181" s="1" t="n">
        <v>45345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45345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23164-2021</t>
        </is>
      </c>
      <c r="B183" s="1" t="n">
        <v>44332</v>
      </c>
      <c r="C183" s="1" t="n">
        <v>45345</v>
      </c>
      <c r="D183" t="inlineStr">
        <is>
          <t>VÄSTRA GÖTALANDS LÄN</t>
        </is>
      </c>
      <c r="E183" t="inlineStr">
        <is>
          <t>ALINGSÅS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45345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23827-2021</t>
        </is>
      </c>
      <c r="B185" s="1" t="n">
        <v>44335</v>
      </c>
      <c r="C185" s="1" t="n">
        <v>45345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26636-2021</t>
        </is>
      </c>
      <c r="B186" s="1" t="n">
        <v>44348</v>
      </c>
      <c r="C186" s="1" t="n">
        <v>45345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28251-2021</t>
        </is>
      </c>
      <c r="B187" s="1" t="n">
        <v>44355</v>
      </c>
      <c r="C187" s="1" t="n">
        <v>45345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28717-2021</t>
        </is>
      </c>
      <c r="B188" s="1" t="n">
        <v>44357</v>
      </c>
      <c r="C188" s="1" t="n">
        <v>45345</v>
      </c>
      <c r="D188" t="inlineStr">
        <is>
          <t>VÄSTRA GÖTALANDS LÄN</t>
        </is>
      </c>
      <c r="E188" t="inlineStr">
        <is>
          <t>ALINGSÅS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29186-2021</t>
        </is>
      </c>
      <c r="B189" s="1" t="n">
        <v>44358</v>
      </c>
      <c r="C189" s="1" t="n">
        <v>45345</v>
      </c>
      <c r="D189" t="inlineStr">
        <is>
          <t>VÄSTRA GÖTALANDS LÄN</t>
        </is>
      </c>
      <c r="E189" t="inlineStr">
        <is>
          <t>ALINGSÅS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29824-2021</t>
        </is>
      </c>
      <c r="B190" s="1" t="n">
        <v>44362</v>
      </c>
      <c r="C190" s="1" t="n">
        <v>45345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32993-2021</t>
        </is>
      </c>
      <c r="B191" s="1" t="n">
        <v>44376</v>
      </c>
      <c r="C191" s="1" t="n">
        <v>45345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45345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33652-2021</t>
        </is>
      </c>
      <c r="B193" s="1" t="n">
        <v>44378</v>
      </c>
      <c r="C193" s="1" t="n">
        <v>45345</v>
      </c>
      <c r="D193" t="inlineStr">
        <is>
          <t>VÄSTRA GÖTALANDS LÄN</t>
        </is>
      </c>
      <c r="E193" t="inlineStr">
        <is>
          <t>ALINGSÅS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33769-2021</t>
        </is>
      </c>
      <c r="B194" s="1" t="n">
        <v>44378</v>
      </c>
      <c r="C194" s="1" t="n">
        <v>45345</v>
      </c>
      <c r="D194" t="inlineStr">
        <is>
          <t>VÄSTRA GÖTALANDS LÄN</t>
        </is>
      </c>
      <c r="E194" t="inlineStr">
        <is>
          <t>ALINGSÅS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36106-2021</t>
        </is>
      </c>
      <c r="B195" s="1" t="n">
        <v>44389</v>
      </c>
      <c r="C195" s="1" t="n">
        <v>45345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45345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37425-2021</t>
        </is>
      </c>
      <c r="B197" s="1" t="n">
        <v>44398</v>
      </c>
      <c r="C197" s="1" t="n">
        <v>45345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39963-2021</t>
        </is>
      </c>
      <c r="B198" s="1" t="n">
        <v>44418</v>
      </c>
      <c r="C198" s="1" t="n">
        <v>45345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42451-2021</t>
        </is>
      </c>
      <c r="B199" s="1" t="n">
        <v>44427</v>
      </c>
      <c r="C199" s="1" t="n">
        <v>45345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43809-2021</t>
        </is>
      </c>
      <c r="B200" s="1" t="n">
        <v>44433</v>
      </c>
      <c r="C200" s="1" t="n">
        <v>45345</v>
      </c>
      <c r="D200" t="inlineStr">
        <is>
          <t>VÄSTRA GÖTALANDS LÄN</t>
        </is>
      </c>
      <c r="E200" t="inlineStr">
        <is>
          <t>ALINGSÅS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45328-2021</t>
        </is>
      </c>
      <c r="B201" s="1" t="n">
        <v>44439</v>
      </c>
      <c r="C201" s="1" t="n">
        <v>45345</v>
      </c>
      <c r="D201" t="inlineStr">
        <is>
          <t>VÄSTRA GÖTALANDS LÄN</t>
        </is>
      </c>
      <c r="E201" t="inlineStr">
        <is>
          <t>ALINGSÅS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46491-2021</t>
        </is>
      </c>
      <c r="B202" s="1" t="n">
        <v>44445</v>
      </c>
      <c r="C202" s="1" t="n">
        <v>45345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45345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47187-2021</t>
        </is>
      </c>
      <c r="B204" s="1" t="n">
        <v>44447</v>
      </c>
      <c r="C204" s="1" t="n">
        <v>45345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47781-2021</t>
        </is>
      </c>
      <c r="B205" s="1" t="n">
        <v>44448</v>
      </c>
      <c r="C205" s="1" t="n">
        <v>45345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45345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50448-2021</t>
        </is>
      </c>
      <c r="B207" s="1" t="n">
        <v>44459</v>
      </c>
      <c r="C207" s="1" t="n">
        <v>45345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51167-2021</t>
        </is>
      </c>
      <c r="B208" s="1" t="n">
        <v>44461</v>
      </c>
      <c r="C208" s="1" t="n">
        <v>45345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51169-2021</t>
        </is>
      </c>
      <c r="B209" s="1" t="n">
        <v>44461</v>
      </c>
      <c r="C209" s="1" t="n">
        <v>45345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53887-2021</t>
        </is>
      </c>
      <c r="B210" s="1" t="n">
        <v>44469</v>
      </c>
      <c r="C210" s="1" t="n">
        <v>45345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57347-2021</t>
        </is>
      </c>
      <c r="B211" s="1" t="n">
        <v>44483</v>
      </c>
      <c r="C211" s="1" t="n">
        <v>45345</v>
      </c>
      <c r="D211" t="inlineStr">
        <is>
          <t>VÄSTRA GÖTALANDS LÄN</t>
        </is>
      </c>
      <c r="E211" t="inlineStr">
        <is>
          <t>ALINGSÅS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58558-2021</t>
        </is>
      </c>
      <c r="B212" s="1" t="n">
        <v>44488</v>
      </c>
      <c r="C212" s="1" t="n">
        <v>45345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60657-2021</t>
        </is>
      </c>
      <c r="B213" s="1" t="n">
        <v>44496</v>
      </c>
      <c r="C213" s="1" t="n">
        <v>45345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63143-2021</t>
        </is>
      </c>
      <c r="B214" s="1" t="n">
        <v>44505</v>
      </c>
      <c r="C214" s="1" t="n">
        <v>45345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64211-2021</t>
        </is>
      </c>
      <c r="B215" s="1" t="n">
        <v>44510</v>
      </c>
      <c r="C215" s="1" t="n">
        <v>45345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65210-2021</t>
        </is>
      </c>
      <c r="B216" s="1" t="n">
        <v>44515</v>
      </c>
      <c r="C216" s="1" t="n">
        <v>45345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65571-2021</t>
        </is>
      </c>
      <c r="B217" s="1" t="n">
        <v>44516</v>
      </c>
      <c r="C217" s="1" t="n">
        <v>45345</v>
      </c>
      <c r="D217" t="inlineStr">
        <is>
          <t>VÄSTRA GÖTALANDS LÄN</t>
        </is>
      </c>
      <c r="E217" t="inlineStr">
        <is>
          <t>ALINGSÅS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65624-2021</t>
        </is>
      </c>
      <c r="B218" s="1" t="n">
        <v>44516</v>
      </c>
      <c r="C218" s="1" t="n">
        <v>45345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68899-2021</t>
        </is>
      </c>
      <c r="B219" s="1" t="n">
        <v>44530</v>
      </c>
      <c r="C219" s="1" t="n">
        <v>45345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70426-2021</t>
        </is>
      </c>
      <c r="B220" s="1" t="n">
        <v>44536</v>
      </c>
      <c r="C220" s="1" t="n">
        <v>45345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73187-2021</t>
        </is>
      </c>
      <c r="B221" s="1" t="n">
        <v>44550</v>
      </c>
      <c r="C221" s="1" t="n">
        <v>45345</v>
      </c>
      <c r="D221" t="inlineStr">
        <is>
          <t>VÄSTRA GÖTALANDS LÄN</t>
        </is>
      </c>
      <c r="E221" t="inlineStr">
        <is>
          <t>ALINGSÅS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981-2022</t>
        </is>
      </c>
      <c r="B222" s="1" t="n">
        <v>44568</v>
      </c>
      <c r="C222" s="1" t="n">
        <v>45345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1231-2022</t>
        </is>
      </c>
      <c r="B223" s="1" t="n">
        <v>44572</v>
      </c>
      <c r="C223" s="1" t="n">
        <v>45345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1105-2022</t>
        </is>
      </c>
      <c r="B224" s="1" t="n">
        <v>44572</v>
      </c>
      <c r="C224" s="1" t="n">
        <v>45345</v>
      </c>
      <c r="D224" t="inlineStr">
        <is>
          <t>VÄSTRA GÖTALANDS LÄN</t>
        </is>
      </c>
      <c r="E224" t="inlineStr">
        <is>
          <t>ALINGSÅS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1106-2022</t>
        </is>
      </c>
      <c r="B225" s="1" t="n">
        <v>44572</v>
      </c>
      <c r="C225" s="1" t="n">
        <v>45345</v>
      </c>
      <c r="D225" t="inlineStr">
        <is>
          <t>VÄSTRA GÖTALANDS LÄN</t>
        </is>
      </c>
      <c r="E225" t="inlineStr">
        <is>
          <t>ALINGSÅS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3172-2022</t>
        </is>
      </c>
      <c r="B226" s="1" t="n">
        <v>44582</v>
      </c>
      <c r="C226" s="1" t="n">
        <v>45345</v>
      </c>
      <c r="D226" t="inlineStr">
        <is>
          <t>VÄSTRA GÖTALANDS LÄN</t>
        </is>
      </c>
      <c r="E226" t="inlineStr">
        <is>
          <t>ALINGSÅS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3045-2022</t>
        </is>
      </c>
      <c r="B227" s="1" t="n">
        <v>44582</v>
      </c>
      <c r="C227" s="1" t="n">
        <v>45345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</v>
      </c>
      <c r="C228" s="1" t="n">
        <v>45345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7030-2022</t>
        </is>
      </c>
      <c r="B229" s="1" t="n">
        <v>44603</v>
      </c>
      <c r="C229" s="1" t="n">
        <v>45345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8780-2022</t>
        </is>
      </c>
      <c r="B230" s="1" t="n">
        <v>44614</v>
      </c>
      <c r="C230" s="1" t="n">
        <v>45345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8777-2022</t>
        </is>
      </c>
      <c r="B231" s="1" t="n">
        <v>44614</v>
      </c>
      <c r="C231" s="1" t="n">
        <v>45345</v>
      </c>
      <c r="D231" t="inlineStr">
        <is>
          <t>VÄSTRA GÖTALANDS LÄN</t>
        </is>
      </c>
      <c r="E231" t="inlineStr">
        <is>
          <t>ALINGSÅS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9181-2022</t>
        </is>
      </c>
      <c r="B232" s="1" t="n">
        <v>44615</v>
      </c>
      <c r="C232" s="1" t="n">
        <v>45345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10017-2022</t>
        </is>
      </c>
      <c r="B233" s="1" t="n">
        <v>44621</v>
      </c>
      <c r="C233" s="1" t="n">
        <v>45345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10999-2022</t>
        </is>
      </c>
      <c r="B234" s="1" t="n">
        <v>44628</v>
      </c>
      <c r="C234" s="1" t="n">
        <v>45345</v>
      </c>
      <c r="D234" t="inlineStr">
        <is>
          <t>VÄSTRA GÖTALANDS LÄN</t>
        </is>
      </c>
      <c r="E234" t="inlineStr">
        <is>
          <t>ALINGSÅS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</v>
      </c>
      <c r="C235" s="1" t="n">
        <v>45345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11536-2022</t>
        </is>
      </c>
      <c r="B236" s="1" t="n">
        <v>44631</v>
      </c>
      <c r="C236" s="1" t="n">
        <v>45345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12313-2022</t>
        </is>
      </c>
      <c r="B237" s="1" t="n">
        <v>44637</v>
      </c>
      <c r="C237" s="1" t="n">
        <v>45345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12318-2022</t>
        </is>
      </c>
      <c r="B238" s="1" t="n">
        <v>44637</v>
      </c>
      <c r="C238" s="1" t="n">
        <v>45345</v>
      </c>
      <c r="D238" t="inlineStr">
        <is>
          <t>VÄSTRA GÖTALANDS LÄN</t>
        </is>
      </c>
      <c r="E238" t="inlineStr">
        <is>
          <t>ALINGSÅS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12884-2022</t>
        </is>
      </c>
      <c r="B239" s="1" t="n">
        <v>44642</v>
      </c>
      <c r="C239" s="1" t="n">
        <v>45345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14327-2022</t>
        </is>
      </c>
      <c r="B240" s="1" t="n">
        <v>44652</v>
      </c>
      <c r="C240" s="1" t="n">
        <v>45345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14359-2022</t>
        </is>
      </c>
      <c r="B241" s="1" t="n">
        <v>44652</v>
      </c>
      <c r="C241" s="1" t="n">
        <v>45345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14363-2022</t>
        </is>
      </c>
      <c r="B242" s="1" t="n">
        <v>44652</v>
      </c>
      <c r="C242" s="1" t="n">
        <v>45345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45345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45345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19738-2022</t>
        </is>
      </c>
      <c r="B245" s="1" t="n">
        <v>44694</v>
      </c>
      <c r="C245" s="1" t="n">
        <v>45345</v>
      </c>
      <c r="D245" t="inlineStr">
        <is>
          <t>VÄSTRA GÖTALANDS LÄN</t>
        </is>
      </c>
      <c r="E245" t="inlineStr">
        <is>
          <t>ALINGSÅS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20053-2022</t>
        </is>
      </c>
      <c r="B246" s="1" t="n">
        <v>44697</v>
      </c>
      <c r="C246" s="1" t="n">
        <v>45345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21727-2022</t>
        </is>
      </c>
      <c r="B247" s="1" t="n">
        <v>44708</v>
      </c>
      <c r="C247" s="1" t="n">
        <v>45345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21732-2022</t>
        </is>
      </c>
      <c r="B248" s="1" t="n">
        <v>44708</v>
      </c>
      <c r="C248" s="1" t="n">
        <v>45345</v>
      </c>
      <c r="D248" t="inlineStr">
        <is>
          <t>VÄSTRA GÖTALANDS LÄN</t>
        </is>
      </c>
      <c r="E248" t="inlineStr">
        <is>
          <t>ALINGSÅS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23129-2022</t>
        </is>
      </c>
      <c r="B249" s="1" t="n">
        <v>44719</v>
      </c>
      <c r="C249" s="1" t="n">
        <v>45345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23559-2022</t>
        </is>
      </c>
      <c r="B250" s="1" t="n">
        <v>44721</v>
      </c>
      <c r="C250" s="1" t="n">
        <v>45345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24464-2022</t>
        </is>
      </c>
      <c r="B251" s="1" t="n">
        <v>44726</v>
      </c>
      <c r="C251" s="1" t="n">
        <v>45345</v>
      </c>
      <c r="D251" t="inlineStr">
        <is>
          <t>VÄSTRA GÖTALANDS LÄN</t>
        </is>
      </c>
      <c r="E251" t="inlineStr">
        <is>
          <t>ALINGSÅS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24483-2022</t>
        </is>
      </c>
      <c r="B252" s="1" t="n">
        <v>44726</v>
      </c>
      <c r="C252" s="1" t="n">
        <v>45345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24579-2022</t>
        </is>
      </c>
      <c r="B253" s="1" t="n">
        <v>44727</v>
      </c>
      <c r="C253" s="1" t="n">
        <v>45345</v>
      </c>
      <c r="D253" t="inlineStr">
        <is>
          <t>VÄSTRA GÖTALANDS LÄN</t>
        </is>
      </c>
      <c r="E253" t="inlineStr">
        <is>
          <t>ALINGSÅS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24607-2022</t>
        </is>
      </c>
      <c r="B254" s="1" t="n">
        <v>44727</v>
      </c>
      <c r="C254" s="1" t="n">
        <v>45345</v>
      </c>
      <c r="D254" t="inlineStr">
        <is>
          <t>VÄSTRA GÖTALANDS LÄN</t>
        </is>
      </c>
      <c r="E254" t="inlineStr">
        <is>
          <t>ALINGSÅS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25141-2022</t>
        </is>
      </c>
      <c r="B255" s="1" t="n">
        <v>44729</v>
      </c>
      <c r="C255" s="1" t="n">
        <v>45345</v>
      </c>
      <c r="D255" t="inlineStr">
        <is>
          <t>VÄSTRA GÖTALANDS LÄN</t>
        </is>
      </c>
      <c r="E255" t="inlineStr">
        <is>
          <t>ALINGSÅS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26891-2022</t>
        </is>
      </c>
      <c r="B256" s="1" t="n">
        <v>44740</v>
      </c>
      <c r="C256" s="1" t="n">
        <v>45345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29559-2022</t>
        </is>
      </c>
      <c r="B257" s="1" t="n">
        <v>44754</v>
      </c>
      <c r="C257" s="1" t="n">
        <v>45345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31303-2022</t>
        </is>
      </c>
      <c r="B258" s="1" t="n">
        <v>44773</v>
      </c>
      <c r="C258" s="1" t="n">
        <v>45345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34684-2022</t>
        </is>
      </c>
      <c r="B259" s="1" t="n">
        <v>44795</v>
      </c>
      <c r="C259" s="1" t="n">
        <v>45345</v>
      </c>
      <c r="D259" t="inlineStr">
        <is>
          <t>VÄSTRA GÖTALANDS LÄN</t>
        </is>
      </c>
      <c r="E259" t="inlineStr">
        <is>
          <t>ALINGSÅS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34689-2022</t>
        </is>
      </c>
      <c r="B260" s="1" t="n">
        <v>44795</v>
      </c>
      <c r="C260" s="1" t="n">
        <v>45345</v>
      </c>
      <c r="D260" t="inlineStr">
        <is>
          <t>VÄSTRA GÖTALANDS LÄN</t>
        </is>
      </c>
      <c r="E260" t="inlineStr">
        <is>
          <t>ALINGSÅS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36787-2022</t>
        </is>
      </c>
      <c r="B261" s="1" t="n">
        <v>44805</v>
      </c>
      <c r="C261" s="1" t="n">
        <v>45345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36765-2022</t>
        </is>
      </c>
      <c r="B262" s="1" t="n">
        <v>44805</v>
      </c>
      <c r="C262" s="1" t="n">
        <v>45345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37509-2022</t>
        </is>
      </c>
      <c r="B263" s="1" t="n">
        <v>44809</v>
      </c>
      <c r="C263" s="1" t="n">
        <v>45345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37512-2022</t>
        </is>
      </c>
      <c r="B264" s="1" t="n">
        <v>44809</v>
      </c>
      <c r="C264" s="1" t="n">
        <v>45345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38955-2022</t>
        </is>
      </c>
      <c r="B265" s="1" t="n">
        <v>44816</v>
      </c>
      <c r="C265" s="1" t="n">
        <v>45345</v>
      </c>
      <c r="D265" t="inlineStr">
        <is>
          <t>VÄSTRA GÖTALANDS LÄN</t>
        </is>
      </c>
      <c r="E265" t="inlineStr">
        <is>
          <t>ALINGSÅS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39299-2022</t>
        </is>
      </c>
      <c r="B266" s="1" t="n">
        <v>44817</v>
      </c>
      <c r="C266" s="1" t="n">
        <v>45345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45345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41370-2022</t>
        </is>
      </c>
      <c r="B268" s="1" t="n">
        <v>44826</v>
      </c>
      <c r="C268" s="1" t="n">
        <v>45345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41372-2022</t>
        </is>
      </c>
      <c r="B269" s="1" t="n">
        <v>44826</v>
      </c>
      <c r="C269" s="1" t="n">
        <v>45345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41912-2022</t>
        </is>
      </c>
      <c r="B270" s="1" t="n">
        <v>44830</v>
      </c>
      <c r="C270" s="1" t="n">
        <v>45345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42620-2022</t>
        </is>
      </c>
      <c r="B271" s="1" t="n">
        <v>44831</v>
      </c>
      <c r="C271" s="1" t="n">
        <v>45345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42619-2022</t>
        </is>
      </c>
      <c r="B272" s="1" t="n">
        <v>44831</v>
      </c>
      <c r="C272" s="1" t="n">
        <v>45345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45345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42865-2022</t>
        </is>
      </c>
      <c r="B274" s="1" t="n">
        <v>44832</v>
      </c>
      <c r="C274" s="1" t="n">
        <v>45345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46407-2022</t>
        </is>
      </c>
      <c r="B275" s="1" t="n">
        <v>44848</v>
      </c>
      <c r="C275" s="1" t="n">
        <v>45345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47234-2022</t>
        </is>
      </c>
      <c r="B276" s="1" t="n">
        <v>44852</v>
      </c>
      <c r="C276" s="1" t="n">
        <v>45345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47238-2022</t>
        </is>
      </c>
      <c r="B277" s="1" t="n">
        <v>44852</v>
      </c>
      <c r="C277" s="1" t="n">
        <v>45345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45345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47960-2022</t>
        </is>
      </c>
      <c r="B279" s="1" t="n">
        <v>44855</v>
      </c>
      <c r="C279" s="1" t="n">
        <v>45345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49420-2022</t>
        </is>
      </c>
      <c r="B280" s="1" t="n">
        <v>44861</v>
      </c>
      <c r="C280" s="1" t="n">
        <v>45345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49879-2022</t>
        </is>
      </c>
      <c r="B281" s="1" t="n">
        <v>44864</v>
      </c>
      <c r="C281" s="1" t="n">
        <v>45345</v>
      </c>
      <c r="D281" t="inlineStr">
        <is>
          <t>VÄSTRA GÖTALANDS LÄN</t>
        </is>
      </c>
      <c r="E281" t="inlineStr">
        <is>
          <t>ALINGSÅS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51221-2022</t>
        </is>
      </c>
      <c r="B282" s="1" t="n">
        <v>44868</v>
      </c>
      <c r="C282" s="1" t="n">
        <v>45345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45345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45345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45345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45345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45345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45345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45345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45345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45345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45345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45345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45345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45345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45345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45345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45345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45345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45345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45345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45345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45345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45345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45345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45345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45345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45345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45345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45345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45345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45345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45345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45345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45345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45345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45345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45345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45345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45345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45345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45345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45345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45345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45345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45345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45345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45345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45345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45345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45345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45345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45345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45345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45345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45345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45345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45345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45345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45345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45345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45345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45345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45345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45345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45345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45345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45345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45345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45345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45345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45345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45345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45345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45345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45345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45345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45345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45345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45345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45345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45345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45345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45345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45345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45345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45345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45345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45345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45345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45345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45345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45345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45345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45345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45345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45345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45345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45345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45345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45345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45345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45345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45345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45345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45345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45345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45345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45345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45345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45345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45345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45345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45345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45345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45345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45345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45345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45345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45345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45345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45345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45345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45345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45345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45345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45345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3894-2024</t>
        </is>
      </c>
      <c r="B408" s="1" t="n">
        <v>45322</v>
      </c>
      <c r="C408" s="1" t="n">
        <v>45345</v>
      </c>
      <c r="D408" t="inlineStr">
        <is>
          <t>VÄSTRA GÖTALANDS LÄN</t>
        </is>
      </c>
      <c r="E408" t="inlineStr">
        <is>
          <t>ALINGSÅS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3896-2024</t>
        </is>
      </c>
      <c r="B409" s="1" t="n">
        <v>45322</v>
      </c>
      <c r="C409" s="1" t="n">
        <v>45345</v>
      </c>
      <c r="D409" t="inlineStr">
        <is>
          <t>VÄSTRA GÖTALANDS LÄN</t>
        </is>
      </c>
      <c r="E409" t="inlineStr">
        <is>
          <t>ALINGSÅS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45345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45345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45345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5384-2024</t>
        </is>
      </c>
      <c r="B413" s="1" t="n">
        <v>45330</v>
      </c>
      <c r="C413" s="1" t="n">
        <v>45345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5382-2024</t>
        </is>
      </c>
      <c r="B414" s="1" t="n">
        <v>45330</v>
      </c>
      <c r="C414" s="1" t="n">
        <v>45345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5810-2024</t>
        </is>
      </c>
      <c r="B415" s="1" t="n">
        <v>45335</v>
      </c>
      <c r="C415" s="1" t="n">
        <v>45345</v>
      </c>
      <c r="D415" t="inlineStr">
        <is>
          <t>VÄSTRA GÖTALANDS LÄN</t>
        </is>
      </c>
      <c r="E415" t="inlineStr">
        <is>
          <t>ALINGSÅS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5808-2024</t>
        </is>
      </c>
      <c r="B416" s="1" t="n">
        <v>45335</v>
      </c>
      <c r="C416" s="1" t="n">
        <v>45345</v>
      </c>
      <c r="D416" t="inlineStr">
        <is>
          <t>VÄSTRA GÖTALANDS LÄN</t>
        </is>
      </c>
      <c r="E416" t="inlineStr">
        <is>
          <t>ALINGSÅS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2024-02-23T06:55:08Z</dcterms:created>
  <dcterms:modified xmlns:dcterms="http://purl.org/dc/terms/" xmlns:xsi="http://www.w3.org/2001/XMLSchema-instance" xsi:type="dcterms:W3CDTF">2024-02-23T06:55:09Z</dcterms:modified>
</cp:coreProperties>
</file>