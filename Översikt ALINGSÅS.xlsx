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45833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45833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45833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45833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45833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45833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45833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45833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45833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45833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45833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45833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45833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45833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45833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45833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45833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7652-2021</t>
        </is>
      </c>
      <c r="B19" s="1" t="n">
        <v>44242</v>
      </c>
      <c r="C19" s="1" t="n">
        <v>45833</v>
      </c>
      <c r="D19" t="inlineStr">
        <is>
          <t>VÄSTRA GÖTALANDS LÄN</t>
        </is>
      </c>
      <c r="E19" t="inlineStr">
        <is>
          <t>ALINGSÅS</t>
        </is>
      </c>
      <c r="G19" t="n">
        <v>24.7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7652-2021 artfynd.xlsx", "A 7652-2021")</f>
        <v/>
      </c>
      <c r="T19">
        <f>HYPERLINK("https://klasma.github.io/Logging_1489/kartor/A 7652-2021 karta.png", "A 7652-2021")</f>
        <v/>
      </c>
      <c r="V19">
        <f>HYPERLINK("https://klasma.github.io/Logging_1489/klagomål/A 7652-2021 FSC-klagomål.docx", "A 7652-2021")</f>
        <v/>
      </c>
      <c r="W19">
        <f>HYPERLINK("https://klasma.github.io/Logging_1489/klagomålsmail/A 7652-2021 FSC-klagomål mail.docx", "A 7652-2021")</f>
        <v/>
      </c>
      <c r="X19">
        <f>HYPERLINK("https://klasma.github.io/Logging_1489/tillsyn/A 7652-2021 tillsynsbegäran.docx", "A 7652-2021")</f>
        <v/>
      </c>
      <c r="Y19">
        <f>HYPERLINK("https://klasma.github.io/Logging_1489/tillsynsmail/A 7652-2021 tillsynsbegäran mail.docx", "A 7652-2021")</f>
        <v/>
      </c>
      <c r="Z19">
        <f>HYPERLINK("https://klasma.github.io/Logging_1489/fåglar/A 7652-2021 prioriterade fågelarter.docx", "A 7652-2021")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45833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46768-2022</t>
        </is>
      </c>
      <c r="B21" s="1" t="n">
        <v>44848</v>
      </c>
      <c r="C21" s="1" t="n">
        <v>45833</v>
      </c>
      <c r="D21" t="inlineStr">
        <is>
          <t>VÄSTRA GÖTALANDS LÄN</t>
        </is>
      </c>
      <c r="E21" t="inlineStr">
        <is>
          <t>ALINGSÅS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Flodkräfta</t>
        </is>
      </c>
      <c r="S21">
        <f>HYPERLINK("https://klasma.github.io/Logging_1489/artfynd/A 46768-2022 artfynd.xlsx", "A 46768-2022")</f>
        <v/>
      </c>
      <c r="T21">
        <f>HYPERLINK("https://klasma.github.io/Logging_1489/kartor/A 46768-2022 karta.png", "A 46768-2022")</f>
        <v/>
      </c>
      <c r="V21">
        <f>HYPERLINK("https://klasma.github.io/Logging_1489/klagomål/A 46768-2022 FSC-klagomål.docx", "A 46768-2022")</f>
        <v/>
      </c>
      <c r="W21">
        <f>HYPERLINK("https://klasma.github.io/Logging_1489/klagomålsmail/A 46768-2022 FSC-klagomål mail.docx", "A 46768-2022")</f>
        <v/>
      </c>
      <c r="X21">
        <f>HYPERLINK("https://klasma.github.io/Logging_1489/tillsyn/A 46768-2022 tillsynsbegäran.docx", "A 46768-2022")</f>
        <v/>
      </c>
      <c r="Y21">
        <f>HYPERLINK("https://klasma.github.io/Logging_1489/tillsynsmail/A 46768-2022 tillsynsbegäran mail.docx", "A 46768-2022")</f>
        <v/>
      </c>
    </row>
    <row r="22" ht="15" customHeight="1">
      <c r="A22" t="inlineStr">
        <is>
          <t>A 26384-2023</t>
        </is>
      </c>
      <c r="B22" s="1" t="n">
        <v>45092</v>
      </c>
      <c r="C22" s="1" t="n">
        <v>45833</v>
      </c>
      <c r="D22" t="inlineStr">
        <is>
          <t>VÄSTRA GÖTALANDS LÄN</t>
        </is>
      </c>
      <c r="E22" t="inlineStr">
        <is>
          <t>ALINGSÅS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26384-2023 artfynd.xlsx", "A 26384-2023")</f>
        <v/>
      </c>
      <c r="T22">
        <f>HYPERLINK("https://klasma.github.io/Logging_1489/kartor/A 26384-2023 karta.png", "A 26384-2023")</f>
        <v/>
      </c>
      <c r="V22">
        <f>HYPERLINK("https://klasma.github.io/Logging_1489/klagomål/A 26384-2023 FSC-klagomål.docx", "A 26384-2023")</f>
        <v/>
      </c>
      <c r="W22">
        <f>HYPERLINK("https://klasma.github.io/Logging_1489/klagomålsmail/A 26384-2023 FSC-klagomål mail.docx", "A 26384-2023")</f>
        <v/>
      </c>
      <c r="X22">
        <f>HYPERLINK("https://klasma.github.io/Logging_1489/tillsyn/A 26384-2023 tillsynsbegäran.docx", "A 26384-2023")</f>
        <v/>
      </c>
      <c r="Y22">
        <f>HYPERLINK("https://klasma.github.io/Logging_1489/tillsynsmail/A 26384-2023 tillsynsbegäran mail.docx", "A 26384-2023")</f>
        <v/>
      </c>
      <c r="Z22">
        <f>HYPERLINK("https://klasma.github.io/Logging_1489/fåglar/A 26384-2023 prioriterade fågelarter.docx", "A 26384-2023")</f>
        <v/>
      </c>
    </row>
    <row r="23" ht="15" customHeight="1">
      <c r="A23" t="inlineStr">
        <is>
          <t>A 63479-2023</t>
        </is>
      </c>
      <c r="B23" s="1" t="n">
        <v>45274</v>
      </c>
      <c r="C23" s="1" t="n">
        <v>45833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HYPERLINK("https://klasma.github.io/Logging_1489/artfynd/A 63479-2023 artfynd.xlsx", "A 63479-2023")</f>
        <v/>
      </c>
      <c r="T23">
        <f>HYPERLINK("https://klasma.github.io/Logging_1489/kartor/A 63479-2023 karta.png", "A 63479-2023")</f>
        <v/>
      </c>
      <c r="V23">
        <f>HYPERLINK("https://klasma.github.io/Logging_1489/klagomål/A 63479-2023 FSC-klagomål.docx", "A 63479-2023")</f>
        <v/>
      </c>
      <c r="W23">
        <f>HYPERLINK("https://klasma.github.io/Logging_1489/klagomålsmail/A 63479-2023 FSC-klagomål mail.docx", "A 63479-2023")</f>
        <v/>
      </c>
      <c r="X23">
        <f>HYPERLINK("https://klasma.github.io/Logging_1489/tillsyn/A 63479-2023 tillsynsbegäran.docx", "A 63479-2023")</f>
        <v/>
      </c>
      <c r="Y23">
        <f>HYPERLINK("https://klasma.github.io/Logging_1489/tillsynsmail/A 63479-2023 tillsynsbegäran mail.docx", "A 63479-2023")</f>
        <v/>
      </c>
      <c r="Z23">
        <f>HYPERLINK("https://klasma.github.io/Logging_1489/fåglar/A 63479-2023 prioriterade fågelarter.docx", "A 63479-2023")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45833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64082-2023</t>
        </is>
      </c>
      <c r="B25" s="1" t="n">
        <v>45279</v>
      </c>
      <c r="C25" s="1" t="n">
        <v>45833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HYPERLINK("https://klasma.github.io/Logging_1489/artfynd/A 64082-2023 artfynd.xlsx", "A 64082-2023")</f>
        <v/>
      </c>
      <c r="T25">
        <f>HYPERLINK("https://klasma.github.io/Logging_1489/kartor/A 64082-2023 karta.png", "A 64082-2023")</f>
        <v/>
      </c>
      <c r="V25">
        <f>HYPERLINK("https://klasma.github.io/Logging_1489/klagomål/A 64082-2023 FSC-klagomål.docx", "A 64082-2023")</f>
        <v/>
      </c>
      <c r="W25">
        <f>HYPERLINK("https://klasma.github.io/Logging_1489/klagomålsmail/A 64082-2023 FSC-klagomål mail.docx", "A 64082-2023")</f>
        <v/>
      </c>
      <c r="X25">
        <f>HYPERLINK("https://klasma.github.io/Logging_1489/tillsyn/A 64082-2023 tillsynsbegäran.docx", "A 64082-2023")</f>
        <v/>
      </c>
      <c r="Y25">
        <f>HYPERLINK("https://klasma.github.io/Logging_1489/tillsynsmail/A 64082-2023 tillsynsbegäran mail.docx", "A 64082-2023")</f>
        <v/>
      </c>
      <c r="Z25">
        <f>HYPERLINK("https://klasma.github.io/Logging_1489/fåglar/A 64082-2023 prioriterade fågelarter.docx", "A 64082-2023")</f>
        <v/>
      </c>
    </row>
    <row r="26" ht="15" customHeight="1">
      <c r="A26" t="inlineStr">
        <is>
          <t>A 5383-2024</t>
        </is>
      </c>
      <c r="B26" s="1" t="n">
        <v>45330</v>
      </c>
      <c r="C26" s="1" t="n">
        <v>45833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HYPERLINK("https://klasma.github.io/Logging_1489/artfynd/A 5383-2024 artfynd.xlsx", "A 5383-2024")</f>
        <v/>
      </c>
      <c r="T26">
        <f>HYPERLINK("https://klasma.github.io/Logging_1489/kartor/A 5383-2024 karta.png", "A 5383-2024")</f>
        <v/>
      </c>
      <c r="V26">
        <f>HYPERLINK("https://klasma.github.io/Logging_1489/klagomål/A 5383-2024 FSC-klagomål.docx", "A 5383-2024")</f>
        <v/>
      </c>
      <c r="W26">
        <f>HYPERLINK("https://klasma.github.io/Logging_1489/klagomålsmail/A 5383-2024 FSC-klagomål mail.docx", "A 5383-2024")</f>
        <v/>
      </c>
      <c r="X26">
        <f>HYPERLINK("https://klasma.github.io/Logging_1489/tillsyn/A 5383-2024 tillsynsbegäran.docx", "A 5383-2024")</f>
        <v/>
      </c>
      <c r="Y26">
        <f>HYPERLINK("https://klasma.github.io/Logging_1489/tillsynsmail/A 5383-2024 tillsynsbegäran mail.docx", "A 5383-2024")</f>
        <v/>
      </c>
    </row>
    <row r="27" ht="15" customHeight="1">
      <c r="A27" t="inlineStr">
        <is>
          <t>A 10542-2024</t>
        </is>
      </c>
      <c r="B27" s="1" t="n">
        <v>45366</v>
      </c>
      <c r="C27" s="1" t="n">
        <v>45833</v>
      </c>
      <c r="D27" t="inlineStr">
        <is>
          <t>VÄSTRA GÖTALANDS LÄN</t>
        </is>
      </c>
      <c r="E27" t="inlineStr">
        <is>
          <t>ALINGSÅS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HYPERLINK("https://klasma.github.io/Logging_1489/artfynd/A 10542-2024 artfynd.xlsx", "A 10542-2024")</f>
        <v/>
      </c>
      <c r="T27">
        <f>HYPERLINK("https://klasma.github.io/Logging_1489/kartor/A 10542-2024 karta.png", "A 10542-2024")</f>
        <v/>
      </c>
      <c r="V27">
        <f>HYPERLINK("https://klasma.github.io/Logging_1489/klagomål/A 10542-2024 FSC-klagomål.docx", "A 10542-2024")</f>
        <v/>
      </c>
      <c r="W27">
        <f>HYPERLINK("https://klasma.github.io/Logging_1489/klagomålsmail/A 10542-2024 FSC-klagomål mail.docx", "A 10542-2024")</f>
        <v/>
      </c>
      <c r="X27">
        <f>HYPERLINK("https://klasma.github.io/Logging_1489/tillsyn/A 10542-2024 tillsynsbegäran.docx", "A 10542-2024")</f>
        <v/>
      </c>
      <c r="Y27">
        <f>HYPERLINK("https://klasma.github.io/Logging_1489/tillsynsmail/A 10542-2024 tillsynsbegäran mail.docx", "A 10542-2024")</f>
        <v/>
      </c>
    </row>
    <row r="28" ht="15" customHeight="1">
      <c r="A28" t="inlineStr">
        <is>
          <t>A 16935-2024</t>
        </is>
      </c>
      <c r="B28" s="1" t="n">
        <v>45411</v>
      </c>
      <c r="C28" s="1" t="n">
        <v>45833</v>
      </c>
      <c r="D28" t="inlineStr">
        <is>
          <t>VÄSTRA GÖTALANDS LÄN</t>
        </is>
      </c>
      <c r="E28" t="inlineStr">
        <is>
          <t>ALINGSÅS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HYPERLINK("https://klasma.github.io/Logging_1489/artfynd/A 16935-2024 artfynd.xlsx", "A 16935-2024")</f>
        <v/>
      </c>
      <c r="T28">
        <f>HYPERLINK("https://klasma.github.io/Logging_1489/kartor/A 16935-2024 karta.png", "A 16935-2024")</f>
        <v/>
      </c>
      <c r="U28">
        <f>HYPERLINK("https://klasma.github.io/Logging_1489/knärot/A 16935-2024 karta knärot.png", "A 16935-2024")</f>
        <v/>
      </c>
      <c r="V28">
        <f>HYPERLINK("https://klasma.github.io/Logging_1489/klagomål/A 16935-2024 FSC-klagomål.docx", "A 16935-2024")</f>
        <v/>
      </c>
      <c r="W28">
        <f>HYPERLINK("https://klasma.github.io/Logging_1489/klagomålsmail/A 16935-2024 FSC-klagomål mail.docx", "A 16935-2024")</f>
        <v/>
      </c>
      <c r="X28">
        <f>HYPERLINK("https://klasma.github.io/Logging_1489/tillsyn/A 16935-2024 tillsynsbegäran.docx", "A 16935-2024")</f>
        <v/>
      </c>
      <c r="Y28">
        <f>HYPERLINK("https://klasma.github.io/Logging_1489/tillsynsmail/A 16935-2024 tillsynsbegäran mail.docx", "A 16935-2024")</f>
        <v/>
      </c>
    </row>
    <row r="29" ht="15" customHeight="1">
      <c r="A29" t="inlineStr">
        <is>
          <t>A 21662-2024</t>
        </is>
      </c>
      <c r="B29" s="1" t="n">
        <v>45442</v>
      </c>
      <c r="C29" s="1" t="n">
        <v>45833</v>
      </c>
      <c r="D29" t="inlineStr">
        <is>
          <t>VÄSTRA GÖTALANDS LÄN</t>
        </is>
      </c>
      <c r="E29" t="inlineStr">
        <is>
          <t>ALINGSÅS</t>
        </is>
      </c>
      <c r="G29" t="n">
        <v>6.2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HYPERLINK("https://klasma.github.io/Logging_1489/artfynd/A 21662-2024 artfynd.xlsx", "A 21662-2024")</f>
        <v/>
      </c>
      <c r="T29">
        <f>HYPERLINK("https://klasma.github.io/Logging_1489/kartor/A 21662-2024 karta.png", "A 21662-2024")</f>
        <v/>
      </c>
      <c r="V29">
        <f>HYPERLINK("https://klasma.github.io/Logging_1489/klagomål/A 21662-2024 FSC-klagomål.docx", "A 21662-2024")</f>
        <v/>
      </c>
      <c r="W29">
        <f>HYPERLINK("https://klasma.github.io/Logging_1489/klagomålsmail/A 21662-2024 FSC-klagomål mail.docx", "A 21662-2024")</f>
        <v/>
      </c>
      <c r="X29">
        <f>HYPERLINK("https://klasma.github.io/Logging_1489/tillsyn/A 21662-2024 tillsynsbegäran.docx", "A 21662-2024")</f>
        <v/>
      </c>
      <c r="Y29">
        <f>HYPERLINK("https://klasma.github.io/Logging_1489/tillsynsmail/A 21662-2024 tillsynsbegäran mail.docx", "A 21662-2024")</f>
        <v/>
      </c>
      <c r="Z29">
        <f>HYPERLINK("https://klasma.github.io/Logging_1489/fåglar/A 21662-2024 prioriterade fågelarter.docx", "A 21662-2024")</f>
        <v/>
      </c>
    </row>
    <row r="30" ht="15" customHeight="1">
      <c r="A30" t="inlineStr">
        <is>
          <t>A 25832-2024</t>
        </is>
      </c>
      <c r="B30" s="1" t="n">
        <v>45467</v>
      </c>
      <c r="C30" s="1" t="n">
        <v>45833</v>
      </c>
      <c r="D30" t="inlineStr">
        <is>
          <t>VÄSTRA GÖTALANDS LÄN</t>
        </is>
      </c>
      <c r="E30" t="inlineStr">
        <is>
          <t>ALINGSÅS</t>
        </is>
      </c>
      <c r="G30" t="n">
        <v>8.699999999999999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HYPERLINK("https://klasma.github.io/Logging_1489/artfynd/A 25832-2024 artfynd.xlsx", "A 25832-2024")</f>
        <v/>
      </c>
      <c r="T30">
        <f>HYPERLINK("https://klasma.github.io/Logging_1489/kartor/A 25832-2024 karta.png", "A 25832-2024")</f>
        <v/>
      </c>
      <c r="U30">
        <f>HYPERLINK("https://klasma.github.io/Logging_1489/knärot/A 25832-2024 karta knärot.png", "A 25832-2024")</f>
        <v/>
      </c>
      <c r="V30">
        <f>HYPERLINK("https://klasma.github.io/Logging_1489/klagomål/A 25832-2024 FSC-klagomål.docx", "A 25832-2024")</f>
        <v/>
      </c>
      <c r="W30">
        <f>HYPERLINK("https://klasma.github.io/Logging_1489/klagomålsmail/A 25832-2024 FSC-klagomål mail.docx", "A 25832-2024")</f>
        <v/>
      </c>
      <c r="X30">
        <f>HYPERLINK("https://klasma.github.io/Logging_1489/tillsyn/A 25832-2024 tillsynsbegäran.docx", "A 25832-2024")</f>
        <v/>
      </c>
      <c r="Y30">
        <f>HYPERLINK("https://klasma.github.io/Logging_1489/tillsynsmail/A 25832-2024 tillsynsbegäran mail.docx", "A 25832-2024")</f>
        <v/>
      </c>
    </row>
    <row r="31" ht="15" customHeight="1">
      <c r="A31" t="inlineStr">
        <is>
          <t>A 29313-2024</t>
        </is>
      </c>
      <c r="B31" s="1" t="n">
        <v>45483</v>
      </c>
      <c r="C31" s="1" t="n">
        <v>45833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HYPERLINK("https://klasma.github.io/Logging_1489/artfynd/A 29313-2024 artfynd.xlsx", "A 29313-2024")</f>
        <v/>
      </c>
      <c r="T31">
        <f>HYPERLINK("https://klasma.github.io/Logging_1489/kartor/A 29313-2024 karta.png", "A 29313-2024")</f>
        <v/>
      </c>
      <c r="V31">
        <f>HYPERLINK("https://klasma.github.io/Logging_1489/klagomål/A 29313-2024 FSC-klagomål.docx", "A 29313-2024")</f>
        <v/>
      </c>
      <c r="W31">
        <f>HYPERLINK("https://klasma.github.io/Logging_1489/klagomålsmail/A 29313-2024 FSC-klagomål mail.docx", "A 29313-2024")</f>
        <v/>
      </c>
      <c r="X31">
        <f>HYPERLINK("https://klasma.github.io/Logging_1489/tillsyn/A 29313-2024 tillsynsbegäran.docx", "A 29313-2024")</f>
        <v/>
      </c>
      <c r="Y31">
        <f>HYPERLINK("https://klasma.github.io/Logging_1489/tillsynsmail/A 29313-2024 tillsynsbegäran mail.docx", "A 29313-2024")</f>
        <v/>
      </c>
    </row>
    <row r="32" ht="15" customHeight="1">
      <c r="A32" t="inlineStr">
        <is>
          <t>A 57759-2024</t>
        </is>
      </c>
      <c r="B32" s="1" t="n">
        <v>45630</v>
      </c>
      <c r="C32" s="1" t="n">
        <v>45833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HYPERLINK("https://klasma.github.io/Logging_1489/artfynd/A 57759-2024 artfynd.xlsx", "A 57759-2024")</f>
        <v/>
      </c>
      <c r="T32">
        <f>HYPERLINK("https://klasma.github.io/Logging_1489/kartor/A 57759-2024 karta.png", "A 57759-2024")</f>
        <v/>
      </c>
      <c r="V32">
        <f>HYPERLINK("https://klasma.github.io/Logging_1489/klagomål/A 57759-2024 FSC-klagomål.docx", "A 57759-2024")</f>
        <v/>
      </c>
      <c r="W32">
        <f>HYPERLINK("https://klasma.github.io/Logging_1489/klagomålsmail/A 57759-2024 FSC-klagomål mail.docx", "A 57759-2024")</f>
        <v/>
      </c>
      <c r="X32">
        <f>HYPERLINK("https://klasma.github.io/Logging_1489/tillsyn/A 57759-2024 tillsynsbegäran.docx", "A 57759-2024")</f>
        <v/>
      </c>
      <c r="Y32">
        <f>HYPERLINK("https://klasma.github.io/Logging_1489/tillsynsmail/A 57759-2024 tillsynsbegäran mail.docx", "A 57759-2024")</f>
        <v/>
      </c>
      <c r="Z32">
        <f>HYPERLINK("https://klasma.github.io/Logging_1489/fåglar/A 57759-2024 prioriterade fågelarter.docx", "A 57759-2024")</f>
        <v/>
      </c>
    </row>
    <row r="33" ht="15" customHeight="1">
      <c r="A33" t="inlineStr">
        <is>
          <t>A 58794-2024</t>
        </is>
      </c>
      <c r="B33" s="1" t="n">
        <v>45636</v>
      </c>
      <c r="C33" s="1" t="n">
        <v>45833</v>
      </c>
      <c r="D33" t="inlineStr">
        <is>
          <t>VÄSTRA GÖTALANDS LÄN</t>
        </is>
      </c>
      <c r="E33" t="inlineStr">
        <is>
          <t>ALINGSÅS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HYPERLINK("https://klasma.github.io/Logging_1489/artfynd/A 58794-2024 artfynd.xlsx", "A 58794-2024")</f>
        <v/>
      </c>
      <c r="T33">
        <f>HYPERLINK("https://klasma.github.io/Logging_1489/kartor/A 58794-2024 karta.png", "A 58794-2024")</f>
        <v/>
      </c>
      <c r="V33">
        <f>HYPERLINK("https://klasma.github.io/Logging_1489/klagomål/A 58794-2024 FSC-klagomål.docx", "A 58794-2024")</f>
        <v/>
      </c>
      <c r="W33">
        <f>HYPERLINK("https://klasma.github.io/Logging_1489/klagomålsmail/A 58794-2024 FSC-klagomål mail.docx", "A 58794-2024")</f>
        <v/>
      </c>
      <c r="X33">
        <f>HYPERLINK("https://klasma.github.io/Logging_1489/tillsyn/A 58794-2024 tillsynsbegäran.docx", "A 58794-2024")</f>
        <v/>
      </c>
      <c r="Y33">
        <f>HYPERLINK("https://klasma.github.io/Logging_1489/tillsynsmail/A 58794-2024 tillsynsbegäran mail.docx", "A 58794-2024")</f>
        <v/>
      </c>
    </row>
    <row r="34" ht="15" customHeight="1">
      <c r="A34" t="inlineStr">
        <is>
          <t>A 19620-2025</t>
        </is>
      </c>
      <c r="B34" s="1" t="n">
        <v>45770</v>
      </c>
      <c r="C34" s="1" t="n">
        <v>45833</v>
      </c>
      <c r="D34" t="inlineStr">
        <is>
          <t>VÄSTRA GÖTALANDS LÄN</t>
        </is>
      </c>
      <c r="E34" t="inlineStr">
        <is>
          <t>ALINGSÅS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HYPERLINK("https://klasma.github.io/Logging_141489/artfynd/A 19620-2025 artfynd.xlsx", "A 19620-2025")</f>
        <v/>
      </c>
      <c r="T34">
        <f>HYPERLINK("https://klasma.github.io/Logging_141489/kartor/A 19620-2025 karta.png", "A 19620-2025")</f>
        <v/>
      </c>
      <c r="V34">
        <f>HYPERLINK("https://klasma.github.io/Logging_141489/klagomål/A 19620-2025 FSC-klagomål.docx", "A 19620-2025")</f>
        <v/>
      </c>
      <c r="W34">
        <f>HYPERLINK("https://klasma.github.io/Logging_141489/klagomålsmail/A 19620-2025 FSC-klagomål mail.docx", "A 19620-2025")</f>
        <v/>
      </c>
      <c r="X34">
        <f>HYPERLINK("https://klasma.github.io/Logging_141489/tillsyn/A 19620-2025 tillsynsbegäran.docx", "A 19620-2025")</f>
        <v/>
      </c>
      <c r="Y34">
        <f>HYPERLINK("https://klasma.github.io/Logging_141489/tillsynsmail/A 19620-2025 tillsynsbegäran mail.docx", "A 19620-2025")</f>
        <v/>
      </c>
    </row>
    <row r="35" ht="15" customHeight="1">
      <c r="A35" t="inlineStr">
        <is>
          <t>A 17734-2019</t>
        </is>
      </c>
      <c r="B35" s="1" t="n">
        <v>43556</v>
      </c>
      <c r="C35" s="1" t="n">
        <v>45833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18080-2019</t>
        </is>
      </c>
      <c r="B36" s="1" t="n">
        <v>43558</v>
      </c>
      <c r="C36" s="1" t="n">
        <v>45833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19460-2019</t>
        </is>
      </c>
      <c r="B37" s="1" t="n">
        <v>43565</v>
      </c>
      <c r="C37" s="1" t="n">
        <v>45833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20231-2019</t>
        </is>
      </c>
      <c r="B38" s="1" t="n">
        <v>43571</v>
      </c>
      <c r="C38" s="1" t="n">
        <v>45833</v>
      </c>
      <c r="D38" t="inlineStr">
        <is>
          <t>VÄSTRA GÖTALANDS LÄN</t>
        </is>
      </c>
      <c r="E38" t="inlineStr">
        <is>
          <t>ALINGSÅS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20977-2019</t>
        </is>
      </c>
      <c r="B39" s="1" t="n">
        <v>43578</v>
      </c>
      <c r="C39" s="1" t="n">
        <v>45833</v>
      </c>
      <c r="D39" t="inlineStr">
        <is>
          <t>VÄSTRA GÖTALANDS LÄN</t>
        </is>
      </c>
      <c r="E39" t="inlineStr">
        <is>
          <t>ALINGSÅS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21902-2019</t>
        </is>
      </c>
      <c r="B40" s="1" t="n">
        <v>43584</v>
      </c>
      <c r="C40" s="1" t="n">
        <v>45833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22930-2019</t>
        </is>
      </c>
      <c r="B41" s="1" t="n">
        <v>43591</v>
      </c>
      <c r="C41" s="1" t="n">
        <v>45833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23223-2019</t>
        </is>
      </c>
      <c r="B42" s="1" t="n">
        <v>43592</v>
      </c>
      <c r="C42" s="1" t="n">
        <v>45833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23220-2019</t>
        </is>
      </c>
      <c r="B43" s="1" t="n">
        <v>43592</v>
      </c>
      <c r="C43" s="1" t="n">
        <v>45833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24205-2019</t>
        </is>
      </c>
      <c r="B44" s="1" t="n">
        <v>43599</v>
      </c>
      <c r="C44" s="1" t="n">
        <v>45833</v>
      </c>
      <c r="D44" t="inlineStr">
        <is>
          <t>VÄSTRA GÖTALANDS LÄN</t>
        </is>
      </c>
      <c r="E44" t="inlineStr">
        <is>
          <t>ALINGSÅS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25649-2019</t>
        </is>
      </c>
      <c r="B45" s="1" t="n">
        <v>43602</v>
      </c>
      <c r="C45" s="1" t="n">
        <v>45833</v>
      </c>
      <c r="D45" t="inlineStr">
        <is>
          <t>VÄSTRA GÖTALANDS LÄN</t>
        </is>
      </c>
      <c r="E45" t="inlineStr">
        <is>
          <t>ALINGSÅS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25646-2019</t>
        </is>
      </c>
      <c r="B46" s="1" t="n">
        <v>43602</v>
      </c>
      <c r="C46" s="1" t="n">
        <v>45833</v>
      </c>
      <c r="D46" t="inlineStr">
        <is>
          <t>VÄSTRA GÖTALANDS LÄN</t>
        </is>
      </c>
      <c r="E46" t="inlineStr">
        <is>
          <t>ALINGSÅS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25728-2019</t>
        </is>
      </c>
      <c r="B47" s="1" t="n">
        <v>43608</v>
      </c>
      <c r="C47" s="1" t="n">
        <v>45833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26386-2019</t>
        </is>
      </c>
      <c r="B48" s="1" t="n">
        <v>43612</v>
      </c>
      <c r="C48" s="1" t="n">
        <v>45833</v>
      </c>
      <c r="D48" t="inlineStr">
        <is>
          <t>VÄSTRA GÖTALANDS LÄN</t>
        </is>
      </c>
      <c r="E48" t="inlineStr">
        <is>
          <t>ALINGSÅS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26387-2019</t>
        </is>
      </c>
      <c r="B49" s="1" t="n">
        <v>43612</v>
      </c>
      <c r="C49" s="1" t="n">
        <v>45833</v>
      </c>
      <c r="D49" t="inlineStr">
        <is>
          <t>VÄSTRA GÖTALANDS LÄN</t>
        </is>
      </c>
      <c r="E49" t="inlineStr">
        <is>
          <t>ALINGSÅS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27943-2019</t>
        </is>
      </c>
      <c r="B50" s="1" t="n">
        <v>43620</v>
      </c>
      <c r="C50" s="1" t="n">
        <v>45833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29040-2019</t>
        </is>
      </c>
      <c r="B51" s="1" t="n">
        <v>43628</v>
      </c>
      <c r="C51" s="1" t="n">
        <v>45833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30231-2019</t>
        </is>
      </c>
      <c r="B52" s="1" t="n">
        <v>43630</v>
      </c>
      <c r="C52" s="1" t="n">
        <v>45833</v>
      </c>
      <c r="D52" t="inlineStr">
        <is>
          <t>VÄSTRA GÖTALANDS LÄN</t>
        </is>
      </c>
      <c r="E52" t="inlineStr">
        <is>
          <t>ALINGSÅS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30454-2019</t>
        </is>
      </c>
      <c r="B53" s="1" t="n">
        <v>43633</v>
      </c>
      <c r="C53" s="1" t="n">
        <v>45833</v>
      </c>
      <c r="D53" t="inlineStr">
        <is>
          <t>VÄSTRA GÖTALANDS LÄN</t>
        </is>
      </c>
      <c r="E53" t="inlineStr">
        <is>
          <t>ALINGSÅS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30516-2019</t>
        </is>
      </c>
      <c r="B54" s="1" t="n">
        <v>43635</v>
      </c>
      <c r="C54" s="1" t="n">
        <v>45833</v>
      </c>
      <c r="D54" t="inlineStr">
        <is>
          <t>VÄSTRA GÖTALANDS LÄN</t>
        </is>
      </c>
      <c r="E54" t="inlineStr">
        <is>
          <t>ALINGSÅS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30908-2019</t>
        </is>
      </c>
      <c r="B55" s="1" t="n">
        <v>43636</v>
      </c>
      <c r="C55" s="1" t="n">
        <v>45833</v>
      </c>
      <c r="D55" t="inlineStr">
        <is>
          <t>VÄSTRA GÖTALANDS LÄN</t>
        </is>
      </c>
      <c r="E55" t="inlineStr">
        <is>
          <t>ALINGSÅS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32951-2019</t>
        </is>
      </c>
      <c r="B56" s="1" t="n">
        <v>43648</v>
      </c>
      <c r="C56" s="1" t="n">
        <v>45833</v>
      </c>
      <c r="D56" t="inlineStr">
        <is>
          <t>VÄSTRA GÖTALANDS LÄN</t>
        </is>
      </c>
      <c r="E56" t="inlineStr">
        <is>
          <t>ALINGSÅS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32947-2019</t>
        </is>
      </c>
      <c r="B57" s="1" t="n">
        <v>43648</v>
      </c>
      <c r="C57" s="1" t="n">
        <v>45833</v>
      </c>
      <c r="D57" t="inlineStr">
        <is>
          <t>VÄSTRA GÖTALANDS LÄN</t>
        </is>
      </c>
      <c r="E57" t="inlineStr">
        <is>
          <t>ALINGSÅS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33366-2019</t>
        </is>
      </c>
      <c r="B58" s="1" t="n">
        <v>43650</v>
      </c>
      <c r="C58" s="1" t="n">
        <v>45833</v>
      </c>
      <c r="D58" t="inlineStr">
        <is>
          <t>VÄSTRA GÖTALANDS LÄN</t>
        </is>
      </c>
      <c r="E58" t="inlineStr">
        <is>
          <t>ALINGSÅS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33885-2019</t>
        </is>
      </c>
      <c r="B59" s="1" t="n">
        <v>43653</v>
      </c>
      <c r="C59" s="1" t="n">
        <v>45833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34662-2019</t>
        </is>
      </c>
      <c r="B60" s="1" t="n">
        <v>43657</v>
      </c>
      <c r="C60" s="1" t="n">
        <v>45833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34941-2019</t>
        </is>
      </c>
      <c r="B61" s="1" t="n">
        <v>43658</v>
      </c>
      <c r="C61" s="1" t="n">
        <v>45833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35951-2019</t>
        </is>
      </c>
      <c r="B62" s="1" t="n">
        <v>43665</v>
      </c>
      <c r="C62" s="1" t="n">
        <v>45833</v>
      </c>
      <c r="D62" t="inlineStr">
        <is>
          <t>VÄSTRA GÖTALANDS LÄN</t>
        </is>
      </c>
      <c r="E62" t="inlineStr">
        <is>
          <t>ALINGSÅS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37361-2019</t>
        </is>
      </c>
      <c r="B63" s="1" t="n">
        <v>43678</v>
      </c>
      <c r="C63" s="1" t="n">
        <v>45833</v>
      </c>
      <c r="D63" t="inlineStr">
        <is>
          <t>VÄSTRA GÖTALANDS LÄN</t>
        </is>
      </c>
      <c r="E63" t="inlineStr">
        <is>
          <t>ALINGSÅS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38192-2019</t>
        </is>
      </c>
      <c r="B64" s="1" t="n">
        <v>43684</v>
      </c>
      <c r="C64" s="1" t="n">
        <v>45833</v>
      </c>
      <c r="D64" t="inlineStr">
        <is>
          <t>VÄSTRA GÖTALANDS LÄN</t>
        </is>
      </c>
      <c r="E64" t="inlineStr">
        <is>
          <t>ALINGSÅS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38195-2019</t>
        </is>
      </c>
      <c r="B65" s="1" t="n">
        <v>43684</v>
      </c>
      <c r="C65" s="1" t="n">
        <v>45833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38730-2019</t>
        </is>
      </c>
      <c r="B66" s="1" t="n">
        <v>43686</v>
      </c>
      <c r="C66" s="1" t="n">
        <v>45833</v>
      </c>
      <c r="D66" t="inlineStr">
        <is>
          <t>VÄSTRA GÖTALANDS LÄN</t>
        </is>
      </c>
      <c r="E66" t="inlineStr">
        <is>
          <t>ALINGSÅS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40388-2019</t>
        </is>
      </c>
      <c r="B67" s="1" t="n">
        <v>43696</v>
      </c>
      <c r="C67" s="1" t="n">
        <v>45833</v>
      </c>
      <c r="D67" t="inlineStr">
        <is>
          <t>VÄSTRA GÖTALANDS LÄN</t>
        </is>
      </c>
      <c r="E67" t="inlineStr">
        <is>
          <t>ALINGSÅS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41113-2019</t>
        </is>
      </c>
      <c r="B68" s="1" t="n">
        <v>43698</v>
      </c>
      <c r="C68" s="1" t="n">
        <v>45833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41723-2019</t>
        </is>
      </c>
      <c r="B69" s="1" t="n">
        <v>43699</v>
      </c>
      <c r="C69" s="1" t="n">
        <v>45833</v>
      </c>
      <c r="D69" t="inlineStr">
        <is>
          <t>VÄSTRA GÖTALANDS LÄN</t>
        </is>
      </c>
      <c r="E69" t="inlineStr">
        <is>
          <t>ALINGSÅS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44389-2019</t>
        </is>
      </c>
      <c r="B70" s="1" t="n">
        <v>43711</v>
      </c>
      <c r="C70" s="1" t="n">
        <v>45833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46561-2019</t>
        </is>
      </c>
      <c r="B71" s="1" t="n">
        <v>43719</v>
      </c>
      <c r="C71" s="1" t="n">
        <v>45833</v>
      </c>
      <c r="D71" t="inlineStr">
        <is>
          <t>VÄSTRA GÖTALANDS LÄN</t>
        </is>
      </c>
      <c r="E71" t="inlineStr">
        <is>
          <t>ALINGSÅS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48319-2019</t>
        </is>
      </c>
      <c r="B72" s="1" t="n">
        <v>43726</v>
      </c>
      <c r="C72" s="1" t="n">
        <v>45833</v>
      </c>
      <c r="D72" t="inlineStr">
        <is>
          <t>VÄSTRA GÖTALANDS LÄN</t>
        </is>
      </c>
      <c r="E72" t="inlineStr">
        <is>
          <t>ALINGSÅS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48322-2019</t>
        </is>
      </c>
      <c r="B73" s="1" t="n">
        <v>43726</v>
      </c>
      <c r="C73" s="1" t="n">
        <v>45833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49787-2019</t>
        </is>
      </c>
      <c r="B74" s="1" t="n">
        <v>43733</v>
      </c>
      <c r="C74" s="1" t="n">
        <v>45833</v>
      </c>
      <c r="D74" t="inlineStr">
        <is>
          <t>VÄSTRA GÖTALANDS LÄN</t>
        </is>
      </c>
      <c r="E74" t="inlineStr">
        <is>
          <t>ALINGSÅS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50210-2019</t>
        </is>
      </c>
      <c r="B75" s="1" t="n">
        <v>43734</v>
      </c>
      <c r="C75" s="1" t="n">
        <v>45833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50236-2019</t>
        </is>
      </c>
      <c r="B76" s="1" t="n">
        <v>43734</v>
      </c>
      <c r="C76" s="1" t="n">
        <v>45833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50363-2019</t>
        </is>
      </c>
      <c r="B77" s="1" t="n">
        <v>43735</v>
      </c>
      <c r="C77" s="1" t="n">
        <v>45833</v>
      </c>
      <c r="D77" t="inlineStr">
        <is>
          <t>VÄSTRA GÖTALANDS LÄN</t>
        </is>
      </c>
      <c r="E77" t="inlineStr">
        <is>
          <t>ALINGSÅS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50832-2019</t>
        </is>
      </c>
      <c r="B78" s="1" t="n">
        <v>43738</v>
      </c>
      <c r="C78" s="1" t="n">
        <v>45833</v>
      </c>
      <c r="D78" t="inlineStr">
        <is>
          <t>VÄSTRA GÖTALANDS LÄN</t>
        </is>
      </c>
      <c r="E78" t="inlineStr">
        <is>
          <t>ALINGSÅS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52060-2019</t>
        </is>
      </c>
      <c r="B79" s="1" t="n">
        <v>43742</v>
      </c>
      <c r="C79" s="1" t="n">
        <v>45833</v>
      </c>
      <c r="D79" t="inlineStr">
        <is>
          <t>VÄSTRA GÖTALANDS LÄN</t>
        </is>
      </c>
      <c r="E79" t="inlineStr">
        <is>
          <t>ALINGSÅS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56953-2019</t>
        </is>
      </c>
      <c r="B80" s="1" t="n">
        <v>43766</v>
      </c>
      <c r="C80" s="1" t="n">
        <v>45833</v>
      </c>
      <c r="D80" t="inlineStr">
        <is>
          <t>VÄSTRA GÖTALANDS LÄN</t>
        </is>
      </c>
      <c r="E80" t="inlineStr">
        <is>
          <t>ALINGSÅS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58907-2019</t>
        </is>
      </c>
      <c r="B81" s="1" t="n">
        <v>43774</v>
      </c>
      <c r="C81" s="1" t="n">
        <v>45833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61427-2019</t>
        </is>
      </c>
      <c r="B82" s="1" t="n">
        <v>43783</v>
      </c>
      <c r="C82" s="1" t="n">
        <v>45833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61766-2019</t>
        </is>
      </c>
      <c r="B83" s="1" t="n">
        <v>43784</v>
      </c>
      <c r="C83" s="1" t="n">
        <v>45833</v>
      </c>
      <c r="D83" t="inlineStr">
        <is>
          <t>VÄSTRA GÖTALANDS LÄN</t>
        </is>
      </c>
      <c r="E83" t="inlineStr">
        <is>
          <t>ALINGSÅS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61706-2019</t>
        </is>
      </c>
      <c r="B84" s="1" t="n">
        <v>43784</v>
      </c>
      <c r="C84" s="1" t="n">
        <v>45833</v>
      </c>
      <c r="D84" t="inlineStr">
        <is>
          <t>VÄSTRA GÖTALANDS LÄN</t>
        </is>
      </c>
      <c r="E84" t="inlineStr">
        <is>
          <t>ALINGSÅS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62223-2019</t>
        </is>
      </c>
      <c r="B85" s="1" t="n">
        <v>43788</v>
      </c>
      <c r="C85" s="1" t="n">
        <v>45833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62996-2019</t>
        </is>
      </c>
      <c r="B86" s="1" t="n">
        <v>43790</v>
      </c>
      <c r="C86" s="1" t="n">
        <v>45833</v>
      </c>
      <c r="D86" t="inlineStr">
        <is>
          <t>VÄSTRA GÖTALANDS LÄN</t>
        </is>
      </c>
      <c r="E86" t="inlineStr">
        <is>
          <t>ALINGSÅS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63542-2019</t>
        </is>
      </c>
      <c r="B87" s="1" t="n">
        <v>43794</v>
      </c>
      <c r="C87" s="1" t="n">
        <v>45833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63705-2019</t>
        </is>
      </c>
      <c r="B88" s="1" t="n">
        <v>43795</v>
      </c>
      <c r="C88" s="1" t="n">
        <v>45833</v>
      </c>
      <c r="D88" t="inlineStr">
        <is>
          <t>VÄSTRA GÖTALANDS LÄN</t>
        </is>
      </c>
      <c r="E88" t="inlineStr">
        <is>
          <t>ALINGSÅS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65209-2019</t>
        </is>
      </c>
      <c r="B89" s="1" t="n">
        <v>43802</v>
      </c>
      <c r="C89" s="1" t="n">
        <v>45833</v>
      </c>
      <c r="D89" t="inlineStr">
        <is>
          <t>VÄSTRA GÖTALANDS LÄN</t>
        </is>
      </c>
      <c r="E89" t="inlineStr">
        <is>
          <t>ALINGSÅS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67326-2019</t>
        </is>
      </c>
      <c r="B90" s="1" t="n">
        <v>43812</v>
      </c>
      <c r="C90" s="1" t="n">
        <v>45833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67895-2019</t>
        </is>
      </c>
      <c r="B91" s="1" t="n">
        <v>43816</v>
      </c>
      <c r="C91" s="1" t="n">
        <v>45833</v>
      </c>
      <c r="D91" t="inlineStr">
        <is>
          <t>VÄSTRA GÖTALANDS LÄN</t>
        </is>
      </c>
      <c r="E91" t="inlineStr">
        <is>
          <t>ALINGSÅS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68909-2019</t>
        </is>
      </c>
      <c r="B92" s="1" t="n">
        <v>43822</v>
      </c>
      <c r="C92" s="1" t="n">
        <v>45833</v>
      </c>
      <c r="D92" t="inlineStr">
        <is>
          <t>VÄSTRA GÖTALANDS LÄN</t>
        </is>
      </c>
      <c r="E92" t="inlineStr">
        <is>
          <t>ALINGSÅS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355-2020</t>
        </is>
      </c>
      <c r="B93" s="1" t="n">
        <v>43837</v>
      </c>
      <c r="C93" s="1" t="n">
        <v>45833</v>
      </c>
      <c r="D93" t="inlineStr">
        <is>
          <t>VÄSTRA GÖTALANDS LÄN</t>
        </is>
      </c>
      <c r="E93" t="inlineStr">
        <is>
          <t>ALINGSÅS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1044-2020</t>
        </is>
      </c>
      <c r="B94" s="1" t="n">
        <v>43839</v>
      </c>
      <c r="C94" s="1" t="n">
        <v>45833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1521-2020</t>
        </is>
      </c>
      <c r="B95" s="1" t="n">
        <v>43843</v>
      </c>
      <c r="C95" s="1" t="n">
        <v>45833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1835-2020</t>
        </is>
      </c>
      <c r="B96" s="1" t="n">
        <v>43844</v>
      </c>
      <c r="C96" s="1" t="n">
        <v>45833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1949-2020</t>
        </is>
      </c>
      <c r="B97" s="1" t="n">
        <v>43845</v>
      </c>
      <c r="C97" s="1" t="n">
        <v>45833</v>
      </c>
      <c r="D97" t="inlineStr">
        <is>
          <t>VÄSTRA GÖTALANDS LÄN</t>
        </is>
      </c>
      <c r="E97" t="inlineStr">
        <is>
          <t>ALINGSÅS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2257-2020</t>
        </is>
      </c>
      <c r="B98" s="1" t="n">
        <v>43846</v>
      </c>
      <c r="C98" s="1" t="n">
        <v>45833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2632-2020</t>
        </is>
      </c>
      <c r="B99" s="1" t="n">
        <v>43847</v>
      </c>
      <c r="C99" s="1" t="n">
        <v>45833</v>
      </c>
      <c r="D99" t="inlineStr">
        <is>
          <t>VÄSTRA GÖTALANDS LÄN</t>
        </is>
      </c>
      <c r="E99" t="inlineStr">
        <is>
          <t>ALINGSÅS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5847-2020</t>
        </is>
      </c>
      <c r="B100" s="1" t="n">
        <v>43864</v>
      </c>
      <c r="C100" s="1" t="n">
        <v>45833</v>
      </c>
      <c r="D100" t="inlineStr">
        <is>
          <t>VÄSTRA GÖTALANDS LÄN</t>
        </is>
      </c>
      <c r="E100" t="inlineStr">
        <is>
          <t>ALINGSÅS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8292-2020</t>
        </is>
      </c>
      <c r="B101" s="1" t="n">
        <v>43875</v>
      </c>
      <c r="C101" s="1" t="n">
        <v>45833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9133-2020</t>
        </is>
      </c>
      <c r="B102" s="1" t="n">
        <v>43879</v>
      </c>
      <c r="C102" s="1" t="n">
        <v>45833</v>
      </c>
      <c r="D102" t="inlineStr">
        <is>
          <t>VÄSTRA GÖTALANDS LÄN</t>
        </is>
      </c>
      <c r="E102" t="inlineStr">
        <is>
          <t>ALINGSÅS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9126-2020</t>
        </is>
      </c>
      <c r="B103" s="1" t="n">
        <v>43879</v>
      </c>
      <c r="C103" s="1" t="n">
        <v>45833</v>
      </c>
      <c r="D103" t="inlineStr">
        <is>
          <t>VÄSTRA GÖTALANDS LÄN</t>
        </is>
      </c>
      <c r="E103" t="inlineStr">
        <is>
          <t>ALINGSÅS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9854-2020</t>
        </is>
      </c>
      <c r="B104" s="1" t="n">
        <v>43882</v>
      </c>
      <c r="C104" s="1" t="n">
        <v>45833</v>
      </c>
      <c r="D104" t="inlineStr">
        <is>
          <t>VÄSTRA GÖTALANDS LÄN</t>
        </is>
      </c>
      <c r="E104" t="inlineStr">
        <is>
          <t>ALINGSÅS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10520-2020</t>
        </is>
      </c>
      <c r="B105" s="1" t="n">
        <v>43886</v>
      </c>
      <c r="C105" s="1" t="n">
        <v>45833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10113-2020</t>
        </is>
      </c>
      <c r="B106" s="1" t="n">
        <v>43887</v>
      </c>
      <c r="C106" s="1" t="n">
        <v>45833</v>
      </c>
      <c r="D106" t="inlineStr">
        <is>
          <t>VÄSTRA GÖTALANDS LÄN</t>
        </is>
      </c>
      <c r="E106" t="inlineStr">
        <is>
          <t>ALINGSÅS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11309-2020</t>
        </is>
      </c>
      <c r="B107" s="1" t="n">
        <v>43892</v>
      </c>
      <c r="C107" s="1" t="n">
        <v>45833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11306-2020</t>
        </is>
      </c>
      <c r="B108" s="1" t="n">
        <v>43892</v>
      </c>
      <c r="C108" s="1" t="n">
        <v>45833</v>
      </c>
      <c r="D108" t="inlineStr">
        <is>
          <t>VÄSTRA GÖTALANDS LÄN</t>
        </is>
      </c>
      <c r="E108" t="inlineStr">
        <is>
          <t>ALINGSÅS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12183-2020</t>
        </is>
      </c>
      <c r="B109" s="1" t="n">
        <v>43895</v>
      </c>
      <c r="C109" s="1" t="n">
        <v>45833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13024-2020</t>
        </is>
      </c>
      <c r="B110" s="1" t="n">
        <v>43900</v>
      </c>
      <c r="C110" s="1" t="n">
        <v>45833</v>
      </c>
      <c r="D110" t="inlineStr">
        <is>
          <t>VÄSTRA GÖTALANDS LÄN</t>
        </is>
      </c>
      <c r="E110" t="inlineStr">
        <is>
          <t>ALINGSÅS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14346-2020</t>
        </is>
      </c>
      <c r="B111" s="1" t="n">
        <v>43908</v>
      </c>
      <c r="C111" s="1" t="n">
        <v>45833</v>
      </c>
      <c r="D111" t="inlineStr">
        <is>
          <t>VÄSTRA GÖTALANDS LÄN</t>
        </is>
      </c>
      <c r="E111" t="inlineStr">
        <is>
          <t>ALINGSÅS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16150-2020</t>
        </is>
      </c>
      <c r="B112" s="1" t="n">
        <v>43916</v>
      </c>
      <c r="C112" s="1" t="n">
        <v>45833</v>
      </c>
      <c r="D112" t="inlineStr">
        <is>
          <t>VÄSTRA GÖTALANDS LÄN</t>
        </is>
      </c>
      <c r="E112" t="inlineStr">
        <is>
          <t>ALINGSÅS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16151-2020</t>
        </is>
      </c>
      <c r="B113" s="1" t="n">
        <v>43916</v>
      </c>
      <c r="C113" s="1" t="n">
        <v>45833</v>
      </c>
      <c r="D113" t="inlineStr">
        <is>
          <t>VÄSTRA GÖTALANDS LÄN</t>
        </is>
      </c>
      <c r="E113" t="inlineStr">
        <is>
          <t>ALINGSÅS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17497-2020</t>
        </is>
      </c>
      <c r="B114" s="1" t="n">
        <v>43920</v>
      </c>
      <c r="C114" s="1" t="n">
        <v>45833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17321-2020</t>
        </is>
      </c>
      <c r="B115" s="1" t="n">
        <v>43922</v>
      </c>
      <c r="C115" s="1" t="n">
        <v>45833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18042-2020</t>
        </is>
      </c>
      <c r="B116" s="1" t="n">
        <v>43927</v>
      </c>
      <c r="C116" s="1" t="n">
        <v>45833</v>
      </c>
      <c r="D116" t="inlineStr">
        <is>
          <t>VÄSTRA GÖTALANDS LÄN</t>
        </is>
      </c>
      <c r="E116" t="inlineStr">
        <is>
          <t>ALINGSÅS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18317-2020</t>
        </is>
      </c>
      <c r="B117" s="1" t="n">
        <v>43928</v>
      </c>
      <c r="C117" s="1" t="n">
        <v>45833</v>
      </c>
      <c r="D117" t="inlineStr">
        <is>
          <t>VÄSTRA GÖTALANDS LÄN</t>
        </is>
      </c>
      <c r="E117" t="inlineStr">
        <is>
          <t>ALINGSÅS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19008-2020</t>
        </is>
      </c>
      <c r="B118" s="1" t="n">
        <v>43936</v>
      </c>
      <c r="C118" s="1" t="n">
        <v>45833</v>
      </c>
      <c r="D118" t="inlineStr">
        <is>
          <t>VÄSTRA GÖTALANDS LÄN</t>
        </is>
      </c>
      <c r="E118" t="inlineStr">
        <is>
          <t>ALINGSÅS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19441-2020</t>
        </is>
      </c>
      <c r="B119" s="1" t="n">
        <v>43938</v>
      </c>
      <c r="C119" s="1" t="n">
        <v>45833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19534-2020</t>
        </is>
      </c>
      <c r="B120" s="1" t="n">
        <v>43941</v>
      </c>
      <c r="C120" s="1" t="n">
        <v>45833</v>
      </c>
      <c r="D120" t="inlineStr">
        <is>
          <t>VÄSTRA GÖTALANDS LÄN</t>
        </is>
      </c>
      <c r="E120" t="inlineStr">
        <is>
          <t>ALINGSÅS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20101-2020</t>
        </is>
      </c>
      <c r="B121" s="1" t="n">
        <v>43944</v>
      </c>
      <c r="C121" s="1" t="n">
        <v>45833</v>
      </c>
      <c r="D121" t="inlineStr">
        <is>
          <t>VÄSTRA GÖTALANDS LÄN</t>
        </is>
      </c>
      <c r="E121" t="inlineStr">
        <is>
          <t>ALINGSÅS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20980-2020</t>
        </is>
      </c>
      <c r="B122" s="1" t="n">
        <v>43950</v>
      </c>
      <c r="C122" s="1" t="n">
        <v>45833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21914-2020</t>
        </is>
      </c>
      <c r="B123" s="1" t="n">
        <v>43958</v>
      </c>
      <c r="C123" s="1" t="n">
        <v>45833</v>
      </c>
      <c r="D123" t="inlineStr">
        <is>
          <t>VÄSTRA GÖTALANDS LÄN</t>
        </is>
      </c>
      <c r="E123" t="inlineStr">
        <is>
          <t>ALINGSÅS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22564-2020</t>
        </is>
      </c>
      <c r="B124" s="1" t="n">
        <v>43963</v>
      </c>
      <c r="C124" s="1" t="n">
        <v>45833</v>
      </c>
      <c r="D124" t="inlineStr">
        <is>
          <t>VÄSTRA GÖTALANDS LÄN</t>
        </is>
      </c>
      <c r="E124" t="inlineStr">
        <is>
          <t>ALINGSÅS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24673-2020</t>
        </is>
      </c>
      <c r="B125" s="1" t="n">
        <v>43978</v>
      </c>
      <c r="C125" s="1" t="n">
        <v>45833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25882-2020</t>
        </is>
      </c>
      <c r="B126" s="1" t="n">
        <v>43984</v>
      </c>
      <c r="C126" s="1" t="n">
        <v>45833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26035-2020</t>
        </is>
      </c>
      <c r="B127" s="1" t="n">
        <v>43985</v>
      </c>
      <c r="C127" s="1" t="n">
        <v>45833</v>
      </c>
      <c r="D127" t="inlineStr">
        <is>
          <t>VÄSTRA GÖTALANDS LÄN</t>
        </is>
      </c>
      <c r="E127" t="inlineStr">
        <is>
          <t>ALINGSÅS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26349-2020</t>
        </is>
      </c>
      <c r="B128" s="1" t="n">
        <v>43986</v>
      </c>
      <c r="C128" s="1" t="n">
        <v>45833</v>
      </c>
      <c r="D128" t="inlineStr">
        <is>
          <t>VÄSTRA GÖTALANDS LÄN</t>
        </is>
      </c>
      <c r="E128" t="inlineStr">
        <is>
          <t>ALINGSÅS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26277-2020</t>
        </is>
      </c>
      <c r="B129" s="1" t="n">
        <v>43986</v>
      </c>
      <c r="C129" s="1" t="n">
        <v>45833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27481-2020</t>
        </is>
      </c>
      <c r="B130" s="1" t="n">
        <v>43993</v>
      </c>
      <c r="C130" s="1" t="n">
        <v>45833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27969-2020</t>
        </is>
      </c>
      <c r="B131" s="1" t="n">
        <v>43997</v>
      </c>
      <c r="C131" s="1" t="n">
        <v>45833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30311-2020</t>
        </is>
      </c>
      <c r="B132" s="1" t="n">
        <v>44007</v>
      </c>
      <c r="C132" s="1" t="n">
        <v>45833</v>
      </c>
      <c r="D132" t="inlineStr">
        <is>
          <t>VÄSTRA GÖTALANDS LÄN</t>
        </is>
      </c>
      <c r="E132" t="inlineStr">
        <is>
          <t>ALINGSÅS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31460-2020</t>
        </is>
      </c>
      <c r="B133" s="1" t="n">
        <v>44013</v>
      </c>
      <c r="C133" s="1" t="n">
        <v>45833</v>
      </c>
      <c r="D133" t="inlineStr">
        <is>
          <t>VÄSTRA GÖTALANDS LÄN</t>
        </is>
      </c>
      <c r="E133" t="inlineStr">
        <is>
          <t>ALINGSÅS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31466-2020</t>
        </is>
      </c>
      <c r="B134" s="1" t="n">
        <v>44013</v>
      </c>
      <c r="C134" s="1" t="n">
        <v>45833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31478-2020</t>
        </is>
      </c>
      <c r="B135" s="1" t="n">
        <v>44013</v>
      </c>
      <c r="C135" s="1" t="n">
        <v>45833</v>
      </c>
      <c r="D135" t="inlineStr">
        <is>
          <t>VÄSTRA GÖTALANDS LÄN</t>
        </is>
      </c>
      <c r="E135" t="inlineStr">
        <is>
          <t>ALINGSÅS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33521-2020</t>
        </is>
      </c>
      <c r="B136" s="1" t="n">
        <v>44025</v>
      </c>
      <c r="C136" s="1" t="n">
        <v>45833</v>
      </c>
      <c r="D136" t="inlineStr">
        <is>
          <t>VÄSTRA GÖTALANDS LÄN</t>
        </is>
      </c>
      <c r="E136" t="inlineStr">
        <is>
          <t>ALINGSÅS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36761-2020</t>
        </is>
      </c>
      <c r="B137" s="1" t="n">
        <v>44053</v>
      </c>
      <c r="C137" s="1" t="n">
        <v>45833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49287-2020</t>
        </is>
      </c>
      <c r="B138" s="1" t="n">
        <v>44105</v>
      </c>
      <c r="C138" s="1" t="n">
        <v>45833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51531-2020</t>
        </is>
      </c>
      <c r="B139" s="1" t="n">
        <v>44113</v>
      </c>
      <c r="C139" s="1" t="n">
        <v>45833</v>
      </c>
      <c r="D139" t="inlineStr">
        <is>
          <t>VÄSTRA GÖTALANDS LÄN</t>
        </is>
      </c>
      <c r="E139" t="inlineStr">
        <is>
          <t>ALINGSÅS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51540-2020</t>
        </is>
      </c>
      <c r="B140" s="1" t="n">
        <v>44113</v>
      </c>
      <c r="C140" s="1" t="n">
        <v>45833</v>
      </c>
      <c r="D140" t="inlineStr">
        <is>
          <t>VÄSTRA GÖTALANDS LÄN</t>
        </is>
      </c>
      <c r="E140" t="inlineStr">
        <is>
          <t>ALINGSÅS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52173-2020</t>
        </is>
      </c>
      <c r="B141" s="1" t="n">
        <v>44117</v>
      </c>
      <c r="C141" s="1" t="n">
        <v>45833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53226-2020</t>
        </is>
      </c>
      <c r="B142" s="1" t="n">
        <v>44123</v>
      </c>
      <c r="C142" s="1" t="n">
        <v>45833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HYPERLINK("https://klasma.github.io/Logging_1489/knärot/A 53226-2020 karta knärot.png", "A 53226-2020")</f>
        <v/>
      </c>
      <c r="V142">
        <f>HYPERLINK("https://klasma.github.io/Logging_1489/klagomål/A 53226-2020 FSC-klagomål.docx", "A 53226-2020")</f>
        <v/>
      </c>
      <c r="W142">
        <f>HYPERLINK("https://klasma.github.io/Logging_1489/klagomålsmail/A 53226-2020 FSC-klagomål mail.docx", "A 53226-2020")</f>
        <v/>
      </c>
      <c r="X142">
        <f>HYPERLINK("https://klasma.github.io/Logging_1489/tillsyn/A 53226-2020 tillsynsbegäran.docx", "A 53226-2020")</f>
        <v/>
      </c>
      <c r="Y142">
        <f>HYPERLINK("https://klasma.github.io/Logging_1489/tillsynsmail/A 53226-2020 tillsynsbegäran mail.docx", "A 53226-2020")</f>
        <v/>
      </c>
    </row>
    <row r="143" ht="15" customHeight="1">
      <c r="A143" t="inlineStr">
        <is>
          <t>A 55479-2020</t>
        </is>
      </c>
      <c r="B143" s="1" t="n">
        <v>44131</v>
      </c>
      <c r="C143" s="1" t="n">
        <v>45833</v>
      </c>
      <c r="D143" t="inlineStr">
        <is>
          <t>VÄSTRA GÖTALANDS LÄN</t>
        </is>
      </c>
      <c r="E143" t="inlineStr">
        <is>
          <t>ALINGSÅS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55525-2020</t>
        </is>
      </c>
      <c r="B144" s="1" t="n">
        <v>44131</v>
      </c>
      <c r="C144" s="1" t="n">
        <v>45833</v>
      </c>
      <c r="D144" t="inlineStr">
        <is>
          <t>VÄSTRA GÖTALANDS LÄN</t>
        </is>
      </c>
      <c r="E144" t="inlineStr">
        <is>
          <t>ALINGSÅS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57203-2020</t>
        </is>
      </c>
      <c r="B145" s="1" t="n">
        <v>44139</v>
      </c>
      <c r="C145" s="1" t="n">
        <v>45833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59059-2020</t>
        </is>
      </c>
      <c r="B146" s="1" t="n">
        <v>44147</v>
      </c>
      <c r="C146" s="1" t="n">
        <v>45833</v>
      </c>
      <c r="D146" t="inlineStr">
        <is>
          <t>VÄSTRA GÖTALANDS LÄN</t>
        </is>
      </c>
      <c r="E146" t="inlineStr">
        <is>
          <t>ALINGSÅS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63118-2020</t>
        </is>
      </c>
      <c r="B147" s="1" t="n">
        <v>44162</v>
      </c>
      <c r="C147" s="1" t="n">
        <v>45833</v>
      </c>
      <c r="D147" t="inlineStr">
        <is>
          <t>VÄSTRA GÖTALANDS LÄN</t>
        </is>
      </c>
      <c r="E147" t="inlineStr">
        <is>
          <t>ALINGSÅS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63970-2020</t>
        </is>
      </c>
      <c r="B148" s="1" t="n">
        <v>44167</v>
      </c>
      <c r="C148" s="1" t="n">
        <v>45833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64952-2020</t>
        </is>
      </c>
      <c r="B149" s="1" t="n">
        <v>44172</v>
      </c>
      <c r="C149" s="1" t="n">
        <v>45833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67662-2020</t>
        </is>
      </c>
      <c r="B150" s="1" t="n">
        <v>44182</v>
      </c>
      <c r="C150" s="1" t="n">
        <v>45833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211-2021</t>
        </is>
      </c>
      <c r="B151" s="1" t="n">
        <v>44200</v>
      </c>
      <c r="C151" s="1" t="n">
        <v>45833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2400-2021</t>
        </is>
      </c>
      <c r="B152" s="1" t="n">
        <v>44211</v>
      </c>
      <c r="C152" s="1" t="n">
        <v>45833</v>
      </c>
      <c r="D152" t="inlineStr">
        <is>
          <t>VÄSTRA GÖTALANDS LÄN</t>
        </is>
      </c>
      <c r="E152" t="inlineStr">
        <is>
          <t>ALINGSÅS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2455-2021</t>
        </is>
      </c>
      <c r="B153" s="1" t="n">
        <v>44214</v>
      </c>
      <c r="C153" s="1" t="n">
        <v>45833</v>
      </c>
      <c r="D153" t="inlineStr">
        <is>
          <t>VÄSTRA GÖTALANDS LÄN</t>
        </is>
      </c>
      <c r="E153" t="inlineStr">
        <is>
          <t>ALINGSÅS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3451-2021</t>
        </is>
      </c>
      <c r="B154" s="1" t="n">
        <v>44218</v>
      </c>
      <c r="C154" s="1" t="n">
        <v>45833</v>
      </c>
      <c r="D154" t="inlineStr">
        <is>
          <t>VÄSTRA GÖTALANDS LÄN</t>
        </is>
      </c>
      <c r="E154" t="inlineStr">
        <is>
          <t>ALINGSÅS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6391-2021</t>
        </is>
      </c>
      <c r="B155" s="1" t="n">
        <v>44235</v>
      </c>
      <c r="C155" s="1" t="n">
        <v>45833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45833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45833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45833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45833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45833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45833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45833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45833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45833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45833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45833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45833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45833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45833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45833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45833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45833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45833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45833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45833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45833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45833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45833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45833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45833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45833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45833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45833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45833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45833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45833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45833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45833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45833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45833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45833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45833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45833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45833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45833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45833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45833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45833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45833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45833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45833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45833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45833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45833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45833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45833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45833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45833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45833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45833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45833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45833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45833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45833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45833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45833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45833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45833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45833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45833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45833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45833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45833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45833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45833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45833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45833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45833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45833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45833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45833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45833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45833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45833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45833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45833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45833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45833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45833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45833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45833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45833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45833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45833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45833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45833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45833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45833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45833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45833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45833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45833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45833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45833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45833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45833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45833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45833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45833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45833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45833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45833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45833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45833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45833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45833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45833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45833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45833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45833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45833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45833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45833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45833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45833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45833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45833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45833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45833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45833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45833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45833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45833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45833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45833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45833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45833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45833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45833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45833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45833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45833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45833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45833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45833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45833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45833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45833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45833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45833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45833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45833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45833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45833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45833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45833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45833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45833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45833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45833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45833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45833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45833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45833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45833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45833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45833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45833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45833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45833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45833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45833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45833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45833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45833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45833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45833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45833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45833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45833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45833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45833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45833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45833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45833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45833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45833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45833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45833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45833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45833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45833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45833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45833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45833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45833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45833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45833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45833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45833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45833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45833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45833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45833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45833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45833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45833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45833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45833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45833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45833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45833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45833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45833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45833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45833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45833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45833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45833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45833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45833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45833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45833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45833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45833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45833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45833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45833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45833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45833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45833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45833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45833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45833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45833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45833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45833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45833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45833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45833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45833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45833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45833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45833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45833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45833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45833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45833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45833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45833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45833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45833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45833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45833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45833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45833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45833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45833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45833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45833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45833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45833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45833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45833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45833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45833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45833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45833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45833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45833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45833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45833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45833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45833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45833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45833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45833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45833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45833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45833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45833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45833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45833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45833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45833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45833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45833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45833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45833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45833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45833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45833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45833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45833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45833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45833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45833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45833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45833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45833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45833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45833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45833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45833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45833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45833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45833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45833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45833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45833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45833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45833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45833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45833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45833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45833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45833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45833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45833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45833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45833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45833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45833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45833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45833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45833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45833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45833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45833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45833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45833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45833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45833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45833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45833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45833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45833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45833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45833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45833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45833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45833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45833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45833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45833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45833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45833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45833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45833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45833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45833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45833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45833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45833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45833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45833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45833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45833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45833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45833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45833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45833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45833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45833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45833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45833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45833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45833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45833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45833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45833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45833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45833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45833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45833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45833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45833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45833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45833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45833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45833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45833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45833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45833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45833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45833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45833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45833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45833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45833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45833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45833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45833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45833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45833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45833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45833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45833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45833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45833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45833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45833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45833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45833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45833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45833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45833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45833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45833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45833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45833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45833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45833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45833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23532-2025</t>
        </is>
      </c>
      <c r="B565" s="1" t="n">
        <v>45792</v>
      </c>
      <c r="C565" s="1" t="n">
        <v>45833</v>
      </c>
      <c r="D565" t="inlineStr">
        <is>
          <t>VÄSTRA GÖTALANDS LÄN</t>
        </is>
      </c>
      <c r="E565" t="inlineStr">
        <is>
          <t>ALINGSÅS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23533-2025</t>
        </is>
      </c>
      <c r="B566" s="1" t="n">
        <v>45792</v>
      </c>
      <c r="C566" s="1" t="n">
        <v>45833</v>
      </c>
      <c r="D566" t="inlineStr">
        <is>
          <t>VÄSTRA GÖTALANDS LÄN</t>
        </is>
      </c>
      <c r="E566" t="inlineStr">
        <is>
          <t>ALINGSÅS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25562-2025</t>
        </is>
      </c>
      <c r="B567" s="1" t="n">
        <v>45803</v>
      </c>
      <c r="C567" s="1" t="n">
        <v>45833</v>
      </c>
      <c r="D567" t="inlineStr">
        <is>
          <t>VÄSTRA GÖTALANDS LÄN</t>
        </is>
      </c>
      <c r="E567" t="inlineStr">
        <is>
          <t>ALINGSÅS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25896-2025</t>
        </is>
      </c>
      <c r="B568" s="1" t="n">
        <v>45804</v>
      </c>
      <c r="C568" s="1" t="n">
        <v>45833</v>
      </c>
      <c r="D568" t="inlineStr">
        <is>
          <t>VÄSTRA GÖTALANDS LÄN</t>
        </is>
      </c>
      <c r="E568" t="inlineStr">
        <is>
          <t>ALINGSÅS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25892-2025</t>
        </is>
      </c>
      <c r="B569" s="1" t="n">
        <v>45804</v>
      </c>
      <c r="C569" s="1" t="n">
        <v>45833</v>
      </c>
      <c r="D569" t="inlineStr">
        <is>
          <t>VÄSTRA GÖTALANDS LÄN</t>
        </is>
      </c>
      <c r="E569" t="inlineStr">
        <is>
          <t>ALINGSÅS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25895-2025</t>
        </is>
      </c>
      <c r="B570" s="1" t="n">
        <v>45804</v>
      </c>
      <c r="C570" s="1" t="n">
        <v>45833</v>
      </c>
      <c r="D570" t="inlineStr">
        <is>
          <t>VÄSTRA GÖTALANDS LÄN</t>
        </is>
      </c>
      <c r="E570" t="inlineStr">
        <is>
          <t>ALINGSÅS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25897-2025</t>
        </is>
      </c>
      <c r="B571" s="1" t="n">
        <v>45804</v>
      </c>
      <c r="C571" s="1" t="n">
        <v>45833</v>
      </c>
      <c r="D571" t="inlineStr">
        <is>
          <t>VÄSTRA GÖTALANDS LÄN</t>
        </is>
      </c>
      <c r="E571" t="inlineStr">
        <is>
          <t>ALINGSÅS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26096-2025</t>
        </is>
      </c>
      <c r="B572" s="1" t="n">
        <v>45805</v>
      </c>
      <c r="C572" s="1" t="n">
        <v>45833</v>
      </c>
      <c r="D572" t="inlineStr">
        <is>
          <t>VÄSTRA GÖTALANDS LÄN</t>
        </is>
      </c>
      <c r="E572" t="inlineStr">
        <is>
          <t>ALINGSÅS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26691-2025</t>
        </is>
      </c>
      <c r="B573" s="1" t="n">
        <v>45810</v>
      </c>
      <c r="C573" s="1" t="n">
        <v>45833</v>
      </c>
      <c r="D573" t="inlineStr">
        <is>
          <t>VÄSTRA GÖTALANDS LÄN</t>
        </is>
      </c>
      <c r="E573" t="inlineStr">
        <is>
          <t>ALINGSÅS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27283-2025</t>
        </is>
      </c>
      <c r="B574" s="1" t="n">
        <v>45812</v>
      </c>
      <c r="C574" s="1" t="n">
        <v>45833</v>
      </c>
      <c r="D574" t="inlineStr">
        <is>
          <t>VÄSTRA GÖTALANDS LÄN</t>
        </is>
      </c>
      <c r="E574" t="inlineStr">
        <is>
          <t>ALINGSÅS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27391-2025</t>
        </is>
      </c>
      <c r="B575" s="1" t="n">
        <v>45812</v>
      </c>
      <c r="C575" s="1" t="n">
        <v>45833</v>
      </c>
      <c r="D575" t="inlineStr">
        <is>
          <t>VÄSTRA GÖTALANDS LÄN</t>
        </is>
      </c>
      <c r="E575" t="inlineStr">
        <is>
          <t>ALINGSÅS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27202-2025</t>
        </is>
      </c>
      <c r="B576" s="1" t="n">
        <v>45812</v>
      </c>
      <c r="C576" s="1" t="n">
        <v>45833</v>
      </c>
      <c r="D576" t="inlineStr">
        <is>
          <t>VÄSTRA GÖTALANDS LÄN</t>
        </is>
      </c>
      <c r="E576" t="inlineStr">
        <is>
          <t>ALINGSÅS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27271-2025</t>
        </is>
      </c>
      <c r="B577" s="1" t="n">
        <v>45812</v>
      </c>
      <c r="C577" s="1" t="n">
        <v>45833</v>
      </c>
      <c r="D577" t="inlineStr">
        <is>
          <t>VÄSTRA GÖTALANDS LÄN</t>
        </is>
      </c>
      <c r="E577" t="inlineStr">
        <is>
          <t>ALINGSÅS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27979-2025</t>
        </is>
      </c>
      <c r="B578" s="1" t="n">
        <v>45817</v>
      </c>
      <c r="C578" s="1" t="n">
        <v>45833</v>
      </c>
      <c r="D578" t="inlineStr">
        <is>
          <t>VÄSTRA GÖTALANDS LÄN</t>
        </is>
      </c>
      <c r="E578" t="inlineStr">
        <is>
          <t>ALINGSÅS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27924-2025</t>
        </is>
      </c>
      <c r="B579" s="1" t="n">
        <v>45817</v>
      </c>
      <c r="C579" s="1" t="n">
        <v>45833</v>
      </c>
      <c r="D579" t="inlineStr">
        <is>
          <t>VÄSTRA GÖTALANDS LÄN</t>
        </is>
      </c>
      <c r="E579" t="inlineStr">
        <is>
          <t>ALINGSÅS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28168-2025</t>
        </is>
      </c>
      <c r="B580" s="1" t="n">
        <v>45818</v>
      </c>
      <c r="C580" s="1" t="n">
        <v>45833</v>
      </c>
      <c r="D580" t="inlineStr">
        <is>
          <t>VÄSTRA GÖTALANDS LÄN</t>
        </is>
      </c>
      <c r="E580" t="inlineStr">
        <is>
          <t>ALINGSÅS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29837-2025</t>
        </is>
      </c>
      <c r="B581" s="1" t="n">
        <v>45826</v>
      </c>
      <c r="C581" s="1" t="n">
        <v>45833</v>
      </c>
      <c r="D581" t="inlineStr">
        <is>
          <t>VÄSTRA GÖTALANDS LÄN</t>
        </is>
      </c>
      <c r="E581" t="inlineStr">
        <is>
          <t>ALINGSÅS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2025-06-25T19:51:44Z</dcterms:created>
  <dcterms:modified xmlns:dcterms="http://purl.org/dc/terms/" xmlns:xsi="http://www.w3.org/2001/XMLSchema-instance" xsi:type="dcterms:W3CDTF">2025-06-25T19:51:44Z</dcterms:modified>
</cp:coreProperties>
</file>