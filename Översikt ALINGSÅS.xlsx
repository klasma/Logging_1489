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46318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46318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46318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46318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46318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46318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46318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46318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46318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46318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46318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46318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46318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46318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57757-2024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45630</v>
      </c>
      <c r="E16" s="1" t="n">
        <v>46318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Kråka
Kungsfågel
Svartvit flugsnappare</t>
        </is>
      </c>
      <c r="W16">
        <f>HYPERLINK("https://klasma.github.io/Logging_1489/artfynd/A 57757-2024 artfynd.xlsx", "A 57757-2024")</f>
        <v/>
      </c>
      <c r="X16">
        <f>HYPERLINK("https://klasma.github.io/Logging_1489/kartor/A 57757-2024 karta.png", "A 57757-2024")</f>
        <v/>
      </c>
      <c r="Y16">
        <f>HYPERLINK("https://klasma.github.io/Logging_1489/kartor_geotiff/A 57757-2024 georefererad karta.tif", "A 57757-2024")</f>
        <v/>
      </c>
      <c r="AA16">
        <f>HYPERLINK("https://klasma.github.io/Logging_1489/klagomål/A 57757-2024 FSC-klagomål.docx", "A 57757-2024")</f>
        <v/>
      </c>
      <c r="AB16">
        <f>HYPERLINK("https://klasma.github.io/Logging_1489/klagomålsmail/A 57757-2024 FSC-klagomål mail.docx", "A 57757-2024")</f>
        <v/>
      </c>
      <c r="AC16">
        <f>HYPERLINK("https://klasma.github.io/Logging_1489/tillsyn/A 57757-2024 tillsynsbegäran.docx", "A 57757-2024")</f>
        <v/>
      </c>
      <c r="AD16">
        <f>HYPERLINK("https://klasma.github.io/Logging_1489/tillsynsmail/A 57757-2024 tillsynsbegäran mail.docx", "A 57757-2024")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46318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46318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56053-2023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46318</v>
      </c>
      <c r="F20" t="inlineStr">
        <is>
          <t>VÄSTRA GÖTALANDS LÄN</t>
        </is>
      </c>
      <c r="G20" t="inlineStr">
        <is>
          <t>ALINGSÅS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7</v>
      </c>
      <c r="U20" t="n">
        <v>5</v>
      </c>
      <c r="V20" s="2" t="inlineStr">
        <is>
          <t>Jungfrulin
Orange taggsvamp
Vanlig groda</t>
        </is>
      </c>
      <c r="W20">
        <f>HYPERLINK("https://klasma.github.io/Logging_1489/artfynd/A 56053-2023 artfynd.xlsx", "A 56053-2023")</f>
        <v/>
      </c>
      <c r="X20">
        <f>HYPERLINK("https://klasma.github.io/Logging_1489/kartor/A 56053-2023 karta.png", "A 56053-2023")</f>
        <v/>
      </c>
      <c r="Y20">
        <f>HYPERLINK("https://klasma.github.io/Logging_1489/kartor_geotiff/A 56053-2023 georefererad karta.tif", "A 56053-2023")</f>
        <v/>
      </c>
      <c r="AA20">
        <f>HYPERLINK("https://klasma.github.io/Logging_1489/klagomål/A 56053-2023 FSC-klagomål.docx", "A 56053-2023")</f>
        <v/>
      </c>
      <c r="AB20">
        <f>HYPERLINK("https://klasma.github.io/Logging_1489/klagomålsmail/A 56053-2023 FSC-klagomål mail.docx", "A 56053-2023")</f>
        <v/>
      </c>
      <c r="AC20">
        <f>HYPERLINK("https://klasma.github.io/Logging_1489/tillsyn/A 56053-2023 tillsynsbegäran.docx", "A 56053-2023")</f>
        <v/>
      </c>
      <c r="AD20">
        <f>HYPERLINK("https://klasma.github.io/Logging_1489/tillsynsmail/A 56053-2023 tillsynsbegäran mail.docx", "A 56053-2023")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46318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46318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46318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51909-2024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46318</v>
      </c>
      <c r="F24" t="inlineStr">
        <is>
          <t>VÄSTRA GÖTALANDS LÄN</t>
        </is>
      </c>
      <c r="G24" t="inlineStr">
        <is>
          <t>ALINGSÅS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Strandlummer
Större träfjäril</t>
        </is>
      </c>
      <c r="W24">
        <f>HYPERLINK("https://klasma.github.io/Logging_1489/artfynd/A 51909-2024 artfynd.xlsx", "A 51909-2024")</f>
        <v/>
      </c>
      <c r="X24">
        <f>HYPERLINK("https://klasma.github.io/Logging_1489/kartor/A 51909-2024 karta.png", "A 51909-2024")</f>
        <v/>
      </c>
      <c r="Y24">
        <f>HYPERLINK("https://klasma.github.io/Logging_1489/kartor_geotiff/A 51909-2024 georefererad karta.tif", "A 51909-2024")</f>
        <v/>
      </c>
      <c r="AA24">
        <f>HYPERLINK("https://klasma.github.io/Logging_1489/klagomål/A 51909-2024 FSC-klagomål.docx", "A 51909-2024")</f>
        <v/>
      </c>
      <c r="AB24">
        <f>HYPERLINK("https://klasma.github.io/Logging_1489/klagomålsmail/A 51909-2024 FSC-klagomål mail.docx", "A 51909-2024")</f>
        <v/>
      </c>
      <c r="AC24">
        <f>HYPERLINK("https://klasma.github.io/Logging_1489/tillsyn/A 51909-2024 tillsynsbegäran.docx", "A 51909-2024")</f>
        <v/>
      </c>
      <c r="AD24">
        <f>HYPERLINK("https://klasma.github.io/Logging_1489/tillsynsmail/A 51909-2024 tillsynsbegäran mail.docx", "A 51909-2024")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46318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10542-2024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45366</v>
      </c>
      <c r="E26" s="1" t="n">
        <v>46318</v>
      </c>
      <c r="F26" t="inlineStr">
        <is>
          <t>VÄSTRA GÖTALANDS LÄN</t>
        </is>
      </c>
      <c r="G26" t="inlineStr">
        <is>
          <t>ALINGSÅS</t>
        </is>
      </c>
      <c r="I26" t="n">
        <v>2.6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HYPERLINK("https://klasma.github.io/Logging_1489/artfynd/A 10542-2024 artfynd.xlsx", "A 10542-2024")</f>
        <v/>
      </c>
      <c r="X26">
        <f>HYPERLINK("https://klasma.github.io/Logging_1489/kartor/A 10542-2024 karta.png", "A 10542-2024")</f>
        <v/>
      </c>
      <c r="Y26">
        <f>HYPERLINK("https://klasma.github.io/Logging_1489/kartor_geotiff/A 10542-2024 georefererad karta.tif", "A 10542-2024")</f>
        <v/>
      </c>
      <c r="AA26">
        <f>HYPERLINK("https://klasma.github.io/Logging_1489/klagomål/A 10542-2024 FSC-klagomål.docx", "A 10542-2024")</f>
        <v/>
      </c>
      <c r="AB26">
        <f>HYPERLINK("https://klasma.github.io/Logging_1489/klagomålsmail/A 10542-2024 FSC-klagomål mail.docx", "A 10542-2024")</f>
        <v/>
      </c>
      <c r="AC26">
        <f>HYPERLINK("https://klasma.github.io/Logging_1489/tillsyn/A 10542-2024 tillsynsbegäran.docx", "A 10542-2024")</f>
        <v/>
      </c>
      <c r="AD26">
        <f>HYPERLINK("https://klasma.github.io/Logging_1489/tillsynsmail/A 10542-2024 tillsynsbegäran mail.docx", "A 10542-2024")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46318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46318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46318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51927-2024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45607</v>
      </c>
      <c r="E30" s="1" t="n">
        <v>46318</v>
      </c>
      <c r="F30" t="inlineStr">
        <is>
          <t>VÄSTRA GÖTALANDS LÄN</t>
        </is>
      </c>
      <c r="G30" t="inlineStr">
        <is>
          <t>ALINGSÅS</t>
        </is>
      </c>
      <c r="I30" t="n">
        <v>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Strandlummer</t>
        </is>
      </c>
      <c r="W30">
        <f>HYPERLINK("https://klasma.github.io/Logging_1489/artfynd/A 51927-2024 artfynd.xlsx", "A 51927-2024")</f>
        <v/>
      </c>
      <c r="X30">
        <f>HYPERLINK("https://klasma.github.io/Logging_1489/kartor/A 51927-2024 karta.png", "A 51927-2024")</f>
        <v/>
      </c>
      <c r="Y30">
        <f>HYPERLINK("https://klasma.github.io/Logging_1489/kartor_geotiff/A 51927-2024 georefererad karta.tif", "A 51927-2024")</f>
        <v/>
      </c>
      <c r="AA30">
        <f>HYPERLINK("https://klasma.github.io/Logging_1489/klagomål/A 51927-2024 FSC-klagomål.docx", "A 51927-2024")</f>
        <v/>
      </c>
      <c r="AB30">
        <f>HYPERLINK("https://klasma.github.io/Logging_1489/klagomålsmail/A 51927-2024 FSC-klagomål mail.docx", "A 51927-2024")</f>
        <v/>
      </c>
      <c r="AC30">
        <f>HYPERLINK("https://klasma.github.io/Logging_1489/tillsyn/A 51927-2024 tillsynsbegäran.docx", "A 51927-2024")</f>
        <v/>
      </c>
      <c r="AD30">
        <f>HYPERLINK("https://klasma.github.io/Logging_1489/tillsynsmail/A 51927-2024 tillsynsbegäran mail.docx", "A 51927-2024")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46318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46318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46318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46318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33222-2026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46246</v>
      </c>
      <c r="E35" s="1" t="n">
        <v>46318</v>
      </c>
      <c r="F35" t="inlineStr">
        <is>
          <t>VÄSTRA GÖTALANDS LÄN</t>
        </is>
      </c>
      <c r="G35" t="inlineStr">
        <is>
          <t>ALINGSÅS</t>
        </is>
      </c>
      <c r="I35" t="n">
        <v>1.4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Kornknutmossa</t>
        </is>
      </c>
      <c r="W35">
        <f>HYPERLINK("https://klasma.github.io/Logging_1489/artfynd/A 33222-2026 artfynd.xlsx", "A 33222-2026")</f>
        <v/>
      </c>
      <c r="X35">
        <f>HYPERLINK("https://klasma.github.io/Logging_1489/kartor/A 33222-2026 karta.png", "A 33222-2026")</f>
        <v/>
      </c>
      <c r="Y35">
        <f>HYPERLINK("https://klasma.github.io/Logging_1489/kartor_geotiff/A 33222-2026 georefererad karta.tif", "A 33222-2026")</f>
        <v/>
      </c>
      <c r="AA35">
        <f>HYPERLINK("https://klasma.github.io/Logging_1489/klagomål/A 33222-2026 FSC-klagomål.docx", "A 33222-2026")</f>
        <v/>
      </c>
      <c r="AB35">
        <f>HYPERLINK("https://klasma.github.io/Logging_1489/klagomålsmail/A 33222-2026 FSC-klagomål mail.docx", "A 33222-2026")</f>
        <v/>
      </c>
      <c r="AC35">
        <f>HYPERLINK("https://klasma.github.io/Logging_1489/tillsyn/A 33222-2026 tillsynsbegäran.docx", "A 33222-2026")</f>
        <v/>
      </c>
      <c r="AD35">
        <f>HYPERLINK("https://klasma.github.io/Logging_1489/tillsynsmail/A 33222-2026 tillsynsbegäran mail.docx", "A 33222-2026")</f>
        <v/>
      </c>
    </row>
    <row r="36" ht="15" customHeight="1">
      <c r="A36" t="inlineStr">
        <is>
          <t>A 62603-2023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46318</v>
      </c>
      <c r="F36" t="inlineStr">
        <is>
          <t>VÄSTRA GÖTALANDS LÄN</t>
        </is>
      </c>
      <c r="G36" t="inlineStr">
        <is>
          <t>ALINGSÅS</t>
        </is>
      </c>
      <c r="H36" t="inlineStr">
        <is>
          <t>Kyrkan</t>
        </is>
      </c>
      <c r="I36" t="n">
        <v>4.9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Duvhök</t>
        </is>
      </c>
      <c r="W36">
        <f>HYPERLINK("https://klasma.github.io/Logging_1489/artfynd/A 62603-2023 artfynd.xlsx", "A 62603-2023")</f>
        <v/>
      </c>
      <c r="X36">
        <f>HYPERLINK("https://klasma.github.io/Logging_1489/kartor/A 62603-2023 karta.png", "A 62603-2023")</f>
        <v/>
      </c>
      <c r="Y36">
        <f>HYPERLINK("https://klasma.github.io/Logging_1489/kartor_geotiff/A 62603-2023 georefererad karta.tif", "A 62603-2023")</f>
        <v/>
      </c>
      <c r="AA36">
        <f>HYPERLINK("https://klasma.github.io/Logging_1489/klagomål/A 62603-2023 FSC-klagomål.docx", "A 62603-2023")</f>
        <v/>
      </c>
      <c r="AB36">
        <f>HYPERLINK("https://klasma.github.io/Logging_1489/klagomålsmail/A 62603-2023 FSC-klagomål mail.docx", "A 62603-2023")</f>
        <v/>
      </c>
      <c r="AC36">
        <f>HYPERLINK("https://klasma.github.io/Logging_1489/tillsyn/A 62603-2023 tillsynsbegäran.docx", "A 62603-2023")</f>
        <v/>
      </c>
      <c r="AD36">
        <f>HYPERLINK("https://klasma.github.io/Logging_1489/tillsynsmail/A 62603-2023 tillsynsbegäran mail.docx", "A 62603-2023")</f>
        <v/>
      </c>
      <c r="AE36">
        <f>HYPERLINK("https://klasma.github.io/Logging_1489/fåglar/A 62603-2023 prioriterade fågelarter.docx", "A 62603-2023")</f>
        <v/>
      </c>
    </row>
    <row r="37" ht="15" customHeight="1">
      <c r="A37" t="inlineStr">
        <is>
          <t>A 5383-2024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46318</v>
      </c>
      <c r="F37" t="inlineStr">
        <is>
          <t>VÄSTRA GÖTALANDS LÄN</t>
        </is>
      </c>
      <c r="G37" t="inlineStr">
        <is>
          <t>ALINGSÅS</t>
        </is>
      </c>
      <c r="H37" t="inlineStr">
        <is>
          <t>Övriga Aktiebolag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6</v>
      </c>
      <c r="U37" t="n">
        <v>0</v>
      </c>
      <c r="V37" s="2" t="inlineStr">
        <is>
          <t>Ask</t>
        </is>
      </c>
      <c r="W37">
        <f>HYPERLINK("https://klasma.github.io/Logging_1489/artfynd/A 5383-2024 artfynd.xlsx", "A 5383-2024")</f>
        <v/>
      </c>
      <c r="X37">
        <f>HYPERLINK("https://klasma.github.io/Logging_1489/kartor/A 5383-2024 karta.png", "A 5383-2024")</f>
        <v/>
      </c>
      <c r="Y37">
        <f>HYPERLINK("https://klasma.github.io/Logging_1489/kartor_geotiff/A 5383-2024 georefererad karta.tif", "A 5383-2024")</f>
        <v/>
      </c>
      <c r="AA37">
        <f>HYPERLINK("https://klasma.github.io/Logging_1489/klagomål/A 5383-2024 FSC-klagomål.docx", "A 5383-2024")</f>
        <v/>
      </c>
      <c r="AB37">
        <f>HYPERLINK("https://klasma.github.io/Logging_1489/klagomålsmail/A 5383-2024 FSC-klagomål mail.docx", "A 5383-2024")</f>
        <v/>
      </c>
      <c r="AC37">
        <f>HYPERLINK("https://klasma.github.io/Logging_1489/tillsyn/A 5383-2024 tillsynsbegäran.docx", "A 5383-2024")</f>
        <v/>
      </c>
      <c r="AD37">
        <f>HYPERLINK("https://klasma.github.io/Logging_1489/tillsynsmail/A 5383-2024 tillsynsbegäran mail.docx", "A 5383-2024")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46318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46318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46318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46318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46318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46318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46318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46318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46318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46318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46318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46318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46318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46318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46318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46318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46318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46318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46318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12884-2022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44642</v>
      </c>
      <c r="E57" s="1" t="n">
        <v>46318</v>
      </c>
      <c r="F57" t="inlineStr">
        <is>
          <t>VÄSTRA GÖTALANDS LÄN</t>
        </is>
      </c>
      <c r="G57" t="inlineStr">
        <is>
          <t>ALINGSÅS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46318</v>
      </c>
      <c r="F58" t="inlineStr">
        <is>
          <t>VÄSTRA GÖTALANDS LÄN</t>
        </is>
      </c>
      <c r="G58" t="inlineStr">
        <is>
          <t>ALINGSÅS</t>
        </is>
      </c>
      <c r="H58" t="inlineStr">
        <is>
          <t>Kyrkan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44568</v>
      </c>
      <c r="E59" s="1" t="n">
        <v>46318</v>
      </c>
      <c r="F59" t="inlineStr">
        <is>
          <t>VÄSTRA GÖTALANDS LÄN</t>
        </is>
      </c>
      <c r="G59" t="inlineStr">
        <is>
          <t>ALINGSÅS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46318</v>
      </c>
      <c r="F60" t="inlineStr">
        <is>
          <t>VÄSTRA GÖTALANDS LÄN</t>
        </is>
      </c>
      <c r="G60" t="inlineStr">
        <is>
          <t>ALINGSÅS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46318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46318</v>
      </c>
      <c r="F62" t="inlineStr">
        <is>
          <t>VÄSTRA GÖTALANDS LÄN</t>
        </is>
      </c>
      <c r="G62" t="inlineStr">
        <is>
          <t>ALINGSÅS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44795</v>
      </c>
      <c r="E63" s="1" t="n">
        <v>46318</v>
      </c>
      <c r="F63" t="inlineStr">
        <is>
          <t>VÄSTRA GÖTALANDS LÄN</t>
        </is>
      </c>
      <c r="G63" t="inlineStr">
        <is>
          <t>ALINGSÅS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46318</v>
      </c>
      <c r="F64" t="inlineStr">
        <is>
          <t>VÄSTRA GÖTALANDS LÄN</t>
        </is>
      </c>
      <c r="G64" t="inlineStr">
        <is>
          <t>ALINGSÅS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45210</v>
      </c>
      <c r="E65" s="1" t="n">
        <v>46318</v>
      </c>
      <c r="F65" t="inlineStr">
        <is>
          <t>VÄSTRA GÖTALANDS LÄN</t>
        </is>
      </c>
      <c r="G65" t="inlineStr">
        <is>
          <t>ALINGSÅS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46318</v>
      </c>
      <c r="F66" t="inlineStr">
        <is>
          <t>VÄSTRA GÖTALANDS LÄN</t>
        </is>
      </c>
      <c r="G66" t="inlineStr">
        <is>
          <t>ALINGSÅS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45660</v>
      </c>
      <c r="E67" s="1" t="n">
        <v>46318</v>
      </c>
      <c r="F67" t="inlineStr">
        <is>
          <t>VÄSTRA GÖTALANDS LÄN</t>
        </is>
      </c>
      <c r="G67" t="inlineStr">
        <is>
          <t>ALINGSÅS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45634</v>
      </c>
      <c r="E68" s="1" t="n">
        <v>46318</v>
      </c>
      <c r="F68" t="inlineStr">
        <is>
          <t>VÄSTRA GÖTALANDS LÄN</t>
        </is>
      </c>
      <c r="G68" t="inlineStr">
        <is>
          <t>ALINGSÅS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46318</v>
      </c>
      <c r="F69" t="inlineStr">
        <is>
          <t>VÄSTRA GÖTALANDS LÄN</t>
        </is>
      </c>
      <c r="G69" t="inlineStr">
        <is>
          <t>ALINGSÅS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25562-2025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46318</v>
      </c>
      <c r="F70" t="inlineStr">
        <is>
          <t>VÄSTRA GÖTALANDS LÄN</t>
        </is>
      </c>
      <c r="G70" t="inlineStr">
        <is>
          <t>ALINGSÅS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46318</v>
      </c>
      <c r="F71" t="inlineStr">
        <is>
          <t>VÄSTRA GÖTALANDS LÄN</t>
        </is>
      </c>
      <c r="G71" t="inlineStr">
        <is>
          <t>ALINGSÅS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31873-2023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45118</v>
      </c>
      <c r="E72" s="1" t="n">
        <v>46318</v>
      </c>
      <c r="F72" t="inlineStr">
        <is>
          <t>VÄSTRA GÖTALANDS LÄN</t>
        </is>
      </c>
      <c r="G72" t="inlineStr">
        <is>
          <t>ALINGSÅS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44957</v>
      </c>
      <c r="E73" s="1" t="n">
        <v>46318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46318</v>
      </c>
      <c r="F74" t="inlineStr">
        <is>
          <t>VÄSTRA GÖTALANDS LÄN</t>
        </is>
      </c>
      <c r="G74" t="inlineStr">
        <is>
          <t>ALINGSÅS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46318</v>
      </c>
      <c r="F75" t="inlineStr">
        <is>
          <t>VÄSTRA GÖTALANDS LÄN</t>
        </is>
      </c>
      <c r="G75" t="inlineStr">
        <is>
          <t>ALINGSÅS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46318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46318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54579-2024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46318</v>
      </c>
      <c r="F78" t="inlineStr">
        <is>
          <t>VÄSTRA GÖTALANDS LÄN</t>
        </is>
      </c>
      <c r="G78" t="inlineStr">
        <is>
          <t>ALINGSÅS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12968-2025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45734</v>
      </c>
      <c r="E79" s="1" t="n">
        <v>46318</v>
      </c>
      <c r="F79" t="inlineStr">
        <is>
          <t>VÄSTRA GÖTALANDS LÄN</t>
        </is>
      </c>
      <c r="G79" t="inlineStr">
        <is>
          <t>ALINGSÅS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46318</v>
      </c>
      <c r="F80" t="inlineStr">
        <is>
          <t>VÄSTRA GÖTALANDS LÄN</t>
        </is>
      </c>
      <c r="G80" t="inlineStr">
        <is>
          <t>ALINGSÅS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15798-2023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46318</v>
      </c>
      <c r="F81" t="inlineStr">
        <is>
          <t>VÄSTRA GÖTALANDS LÄN</t>
        </is>
      </c>
      <c r="G81" t="inlineStr">
        <is>
          <t>ALINGSÅS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46318</v>
      </c>
      <c r="F82" t="inlineStr">
        <is>
          <t>VÄSTRA GÖTALANDS LÄN</t>
        </is>
      </c>
      <c r="G82" t="inlineStr">
        <is>
          <t>ALINGSÅS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44991</v>
      </c>
      <c r="E83" s="1" t="n">
        <v>46318</v>
      </c>
      <c r="F83" t="inlineStr">
        <is>
          <t>VÄSTRA GÖTALANDS LÄN</t>
        </is>
      </c>
      <c r="G83" t="inlineStr">
        <is>
          <t>ALINGSÅS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46318</v>
      </c>
      <c r="F84" t="inlineStr">
        <is>
          <t>VÄSTRA GÖTALANDS LÄN</t>
        </is>
      </c>
      <c r="G84" t="inlineStr">
        <is>
          <t>ALINGSÅS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46318</v>
      </c>
      <c r="F85" t="inlineStr">
        <is>
          <t>VÄSTRA GÖTALANDS LÄN</t>
        </is>
      </c>
      <c r="G85" t="inlineStr">
        <is>
          <t>ALINGSÅS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46318</v>
      </c>
      <c r="F86" t="inlineStr">
        <is>
          <t>VÄSTRA GÖTALANDS LÄN</t>
        </is>
      </c>
      <c r="G86" t="inlineStr">
        <is>
          <t>ALINGSÅS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44964</v>
      </c>
      <c r="E87" s="1" t="n">
        <v>46318</v>
      </c>
      <c r="F87" t="inlineStr">
        <is>
          <t>VÄSTRA GÖTALANDS LÄN</t>
        </is>
      </c>
      <c r="G87" t="inlineStr">
        <is>
          <t>ALINGSÅS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46318</v>
      </c>
      <c r="F88" t="inlineStr">
        <is>
          <t>VÄSTRA GÖTALANDS LÄN</t>
        </is>
      </c>
      <c r="G88" t="inlineStr">
        <is>
          <t>ALINGSÅS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46318</v>
      </c>
      <c r="F89" t="inlineStr">
        <is>
          <t>VÄSTRA GÖTALANDS LÄN</t>
        </is>
      </c>
      <c r="G89" t="inlineStr">
        <is>
          <t>ALINGSÅS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28168-2025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45818</v>
      </c>
      <c r="E90" s="1" t="n">
        <v>46318</v>
      </c>
      <c r="F90" t="inlineStr">
        <is>
          <t>VÄSTRA GÖTALANDS LÄN</t>
        </is>
      </c>
      <c r="G90" t="inlineStr">
        <is>
          <t>ALINGSÅS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46318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46318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15019-2023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46318</v>
      </c>
      <c r="F93" t="inlineStr">
        <is>
          <t>VÄSTRA GÖTALANDS LÄN</t>
        </is>
      </c>
      <c r="G93" t="inlineStr">
        <is>
          <t>ALINGSÅS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45391</v>
      </c>
      <c r="E94" s="1" t="n">
        <v>46318</v>
      </c>
      <c r="F94" t="inlineStr">
        <is>
          <t>VÄSTRA GÖTALANDS LÄN</t>
        </is>
      </c>
      <c r="G94" t="inlineStr">
        <is>
          <t>ALINGSÅS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45152</v>
      </c>
      <c r="E95" s="1" t="n">
        <v>46318</v>
      </c>
      <c r="F95" t="inlineStr">
        <is>
          <t>VÄSTRA GÖTALANDS LÄN</t>
        </is>
      </c>
      <c r="G95" t="inlineStr">
        <is>
          <t>ALINGSÅS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46318</v>
      </c>
      <c r="F96" t="inlineStr">
        <is>
          <t>VÄSTRA GÖTALANDS LÄN</t>
        </is>
      </c>
      <c r="G96" t="inlineStr">
        <is>
          <t>ALINGSÅS</t>
        </is>
      </c>
      <c r="H96" t="inlineStr">
        <is>
          <t>Kyrkan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46318</v>
      </c>
      <c r="F97" t="inlineStr">
        <is>
          <t>VÄSTRA GÖTALANDS LÄN</t>
        </is>
      </c>
      <c r="G97" t="inlineStr">
        <is>
          <t>ALINGSÅS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46318</v>
      </c>
      <c r="F98" t="inlineStr">
        <is>
          <t>VÄSTRA GÖTALANDS LÄN</t>
        </is>
      </c>
      <c r="G98" t="inlineStr">
        <is>
          <t>ALINGSÅS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46318</v>
      </c>
      <c r="F99" t="inlineStr">
        <is>
          <t>VÄSTRA GÖTALANDS LÄN</t>
        </is>
      </c>
      <c r="G99" t="inlineStr">
        <is>
          <t>ALINGSÅS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46318</v>
      </c>
      <c r="F100" t="inlineStr">
        <is>
          <t>VÄSTRA GÖTALANDS LÄN</t>
        </is>
      </c>
      <c r="G100" t="inlineStr">
        <is>
          <t>ALINGSÅS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46318</v>
      </c>
      <c r="F101" t="inlineStr">
        <is>
          <t>VÄSTRA GÖTALANDS LÄN</t>
        </is>
      </c>
      <c r="G101" t="inlineStr">
        <is>
          <t>ALINGSÅS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46318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44953</v>
      </c>
      <c r="E103" s="1" t="n">
        <v>46318</v>
      </c>
      <c r="F103" t="inlineStr">
        <is>
          <t>VÄSTRA GÖTALANDS LÄN</t>
        </is>
      </c>
      <c r="G103" t="inlineStr">
        <is>
          <t>ALINGSÅS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45097</v>
      </c>
      <c r="E104" s="1" t="n">
        <v>46318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46318</v>
      </c>
      <c r="F105" t="inlineStr">
        <is>
          <t>VÄSTRA GÖTALANDS LÄN</t>
        </is>
      </c>
      <c r="G105" t="inlineStr">
        <is>
          <t>ALINGSÅS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46318</v>
      </c>
      <c r="F106" t="inlineStr">
        <is>
          <t>VÄSTRA GÖTALANDS LÄN</t>
        </is>
      </c>
      <c r="G106" t="inlineStr">
        <is>
          <t>ALINGSÅS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19553-2024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45429</v>
      </c>
      <c r="E107" s="1" t="n">
        <v>46318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52297-2024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46318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46318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45850</v>
      </c>
      <c r="E110" s="1" t="n">
        <v>46318</v>
      </c>
      <c r="F110" t="inlineStr">
        <is>
          <t>VÄSTRA GÖTALANDS LÄN</t>
        </is>
      </c>
      <c r="G110" t="inlineStr">
        <is>
          <t>ALINGSÅS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46318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46318</v>
      </c>
      <c r="F112" t="inlineStr">
        <is>
          <t>VÄSTRA GÖTALANDS LÄN</t>
        </is>
      </c>
      <c r="G112" t="inlineStr">
        <is>
          <t>ALINGSÅS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46318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45850</v>
      </c>
      <c r="E114" s="1" t="n">
        <v>46318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46318</v>
      </c>
      <c r="F115" t="inlineStr">
        <is>
          <t>VÄSTRA GÖTALANDS LÄN</t>
        </is>
      </c>
      <c r="G115" t="inlineStr">
        <is>
          <t>ALINGSÅS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17550-2025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45757</v>
      </c>
      <c r="E116" s="1" t="n">
        <v>46318</v>
      </c>
      <c r="F116" t="inlineStr">
        <is>
          <t>VÄSTRA GÖTALANDS LÄN</t>
        </is>
      </c>
      <c r="G116" t="inlineStr">
        <is>
          <t>ALINGSÅS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46318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42710-2025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46318</v>
      </c>
      <c r="F118" t="inlineStr">
        <is>
          <t>VÄSTRA GÖTALANDS LÄN</t>
        </is>
      </c>
      <c r="G118" t="inlineStr">
        <is>
          <t>ALINGSÅS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46318</v>
      </c>
      <c r="F119" t="inlineStr">
        <is>
          <t>VÄSTRA GÖTALANDS LÄN</t>
        </is>
      </c>
      <c r="G119" t="inlineStr">
        <is>
          <t>ALINGSÅS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46318</v>
      </c>
      <c r="F120" t="inlineStr">
        <is>
          <t>VÄSTRA GÖTALANDS LÄN</t>
        </is>
      </c>
      <c r="G120" t="inlineStr">
        <is>
          <t>ALINGSÅS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46318</v>
      </c>
      <c r="F121" t="inlineStr">
        <is>
          <t>VÄSTRA GÖTALANDS LÄN</t>
        </is>
      </c>
      <c r="G121" t="inlineStr">
        <is>
          <t>ALINGSÅS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46318</v>
      </c>
      <c r="F122" t="inlineStr">
        <is>
          <t>VÄSTRA GÖTALANDS LÄN</t>
        </is>
      </c>
      <c r="G122" t="inlineStr">
        <is>
          <t>ALINGSÅS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46318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46318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46318</v>
      </c>
      <c r="F125" t="inlineStr">
        <is>
          <t>VÄSTRA GÖTALANDS LÄN</t>
        </is>
      </c>
      <c r="G125" t="inlineStr">
        <is>
          <t>ALINGSÅS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45568</v>
      </c>
      <c r="E126" s="1" t="n">
        <v>46318</v>
      </c>
      <c r="F126" t="inlineStr">
        <is>
          <t>VÄSTRA GÖTALANDS LÄN</t>
        </is>
      </c>
      <c r="G126" t="inlineStr">
        <is>
          <t>ALINGSÅS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45349</v>
      </c>
      <c r="E127" s="1" t="n">
        <v>46318</v>
      </c>
      <c r="F127" t="inlineStr">
        <is>
          <t>VÄSTRA GÖTALANDS LÄN</t>
        </is>
      </c>
      <c r="G127" t="inlineStr">
        <is>
          <t>ALINGSÅS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46318</v>
      </c>
      <c r="F128" t="inlineStr">
        <is>
          <t>VÄSTRA GÖTALANDS LÄN</t>
        </is>
      </c>
      <c r="G128" t="inlineStr">
        <is>
          <t>ALINGSÅS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46318</v>
      </c>
      <c r="F129" t="inlineStr">
        <is>
          <t>VÄSTRA GÖTALANDS LÄN</t>
        </is>
      </c>
      <c r="G129" t="inlineStr">
        <is>
          <t>ALINGSÅS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45465</v>
      </c>
      <c r="E130" s="1" t="n">
        <v>46318</v>
      </c>
      <c r="F130" t="inlineStr">
        <is>
          <t>VÄSTRA GÖTALANDS LÄN</t>
        </is>
      </c>
      <c r="G130" t="inlineStr">
        <is>
          <t>ALINGSÅS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46318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46318</v>
      </c>
      <c r="F132" t="inlineStr">
        <is>
          <t>VÄSTRA GÖTALANDS LÄN</t>
        </is>
      </c>
      <c r="G132" t="inlineStr">
        <is>
          <t>ALINGSÅS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44672</v>
      </c>
      <c r="E133" s="1" t="n">
        <v>46318</v>
      </c>
      <c r="F133" t="inlineStr">
        <is>
          <t>VÄSTRA GÖTALANDS LÄN</t>
        </is>
      </c>
      <c r="G133" t="inlineStr">
        <is>
          <t>ALINGSÅS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46318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46318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46318</v>
      </c>
      <c r="F136" t="inlineStr">
        <is>
          <t>VÄSTRA GÖTALANDS LÄN</t>
        </is>
      </c>
      <c r="G136" t="inlineStr">
        <is>
          <t>ALINGSÅS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46318</v>
      </c>
      <c r="F137" t="inlineStr">
        <is>
          <t>VÄSTRA GÖTALANDS LÄN</t>
        </is>
      </c>
      <c r="G137" t="inlineStr">
        <is>
          <t>ALINGSÅS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46318</v>
      </c>
      <c r="F138" t="inlineStr">
        <is>
          <t>VÄSTRA GÖTALANDS LÄN</t>
        </is>
      </c>
      <c r="G138" t="inlineStr">
        <is>
          <t>ALINGSÅS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46318</v>
      </c>
      <c r="F139" t="inlineStr">
        <is>
          <t>VÄSTRA GÖTALANDS LÄN</t>
        </is>
      </c>
      <c r="G139" t="inlineStr">
        <is>
          <t>ALINGSÅS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45322-2024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46318</v>
      </c>
      <c r="F140" t="inlineStr">
        <is>
          <t>VÄSTRA GÖTALANDS LÄN</t>
        </is>
      </c>
      <c r="G140" t="inlineStr">
        <is>
          <t>ALINGSÅS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45722</v>
      </c>
      <c r="E141" s="1" t="n">
        <v>46318</v>
      </c>
      <c r="F141" t="inlineStr">
        <is>
          <t>VÄSTRA GÖTALANDS LÄN</t>
        </is>
      </c>
      <c r="G141" t="inlineStr">
        <is>
          <t>ALINGSÅS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46318</v>
      </c>
      <c r="F142" t="inlineStr">
        <is>
          <t>VÄSTRA GÖTALANDS LÄN</t>
        </is>
      </c>
      <c r="G142" t="inlineStr">
        <is>
          <t>ALINGSÅS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45011</v>
      </c>
      <c r="E143" s="1" t="n">
        <v>46318</v>
      </c>
      <c r="F143" t="inlineStr">
        <is>
          <t>VÄSTRA GÖTALANDS LÄN</t>
        </is>
      </c>
      <c r="G143" t="inlineStr">
        <is>
          <t>ALINGSÅS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44907</v>
      </c>
      <c r="E144" s="1" t="n">
        <v>46318</v>
      </c>
      <c r="F144" t="inlineStr">
        <is>
          <t>VÄSTRA GÖTALANDS LÄN</t>
        </is>
      </c>
      <c r="G144" t="inlineStr">
        <is>
          <t>ALINGSÅS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12318-2022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44637</v>
      </c>
      <c r="E145" s="1" t="n">
        <v>46318</v>
      </c>
      <c r="F145" t="inlineStr">
        <is>
          <t>VÄSTRA GÖTALANDS LÄN</t>
        </is>
      </c>
      <c r="G145" t="inlineStr">
        <is>
          <t>ALINGSÅS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46318</v>
      </c>
      <c r="F146" t="inlineStr">
        <is>
          <t>VÄSTRA GÖTALANDS LÄN</t>
        </is>
      </c>
      <c r="G146" t="inlineStr">
        <is>
          <t>ALINGSÅS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45792</v>
      </c>
      <c r="E147" s="1" t="n">
        <v>46318</v>
      </c>
      <c r="F147" t="inlineStr">
        <is>
          <t>VÄSTRA GÖTALANDS LÄN</t>
        </is>
      </c>
      <c r="G147" t="inlineStr">
        <is>
          <t>ALINGSÅS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46318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45826</v>
      </c>
      <c r="E149" s="1" t="n">
        <v>46318</v>
      </c>
      <c r="F149" t="inlineStr">
        <is>
          <t>VÄSTRA GÖTALANDS LÄN</t>
        </is>
      </c>
      <c r="G149" t="inlineStr">
        <is>
          <t>ALINGSÅS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45772</v>
      </c>
      <c r="E150" s="1" t="n">
        <v>46318</v>
      </c>
      <c r="F150" t="inlineStr">
        <is>
          <t>VÄSTRA GÖTALANDS LÄN</t>
        </is>
      </c>
      <c r="G150" t="inlineStr">
        <is>
          <t>ALINGSÅS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46318</v>
      </c>
      <c r="F151" t="inlineStr">
        <is>
          <t>VÄSTRA GÖTALANDS LÄN</t>
        </is>
      </c>
      <c r="G151" t="inlineStr">
        <is>
          <t>ALINGSÅS</t>
        </is>
      </c>
      <c r="H151" t="inlineStr">
        <is>
          <t>Kyrkan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46318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45681</v>
      </c>
      <c r="E153" s="1" t="n">
        <v>46318</v>
      </c>
      <c r="F153" t="inlineStr">
        <is>
          <t>VÄSTRA GÖTALANDS LÄN</t>
        </is>
      </c>
      <c r="G153" t="inlineStr">
        <is>
          <t>ALINGSÅS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46318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45465</v>
      </c>
      <c r="E155" s="1" t="n">
        <v>46318</v>
      </c>
      <c r="F155" t="inlineStr">
        <is>
          <t>VÄSTRA GÖTALANDS LÄN</t>
        </is>
      </c>
      <c r="G155" t="inlineStr">
        <is>
          <t>ALINGSÅS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46318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46318</v>
      </c>
      <c r="F157" t="inlineStr">
        <is>
          <t>VÄSTRA GÖTALANDS LÄN</t>
        </is>
      </c>
      <c r="G157" t="inlineStr">
        <is>
          <t>ALINGSÅS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46318</v>
      </c>
      <c r="F158" t="inlineStr">
        <is>
          <t>VÄSTRA GÖTALANDS LÄN</t>
        </is>
      </c>
      <c r="G158" t="inlineStr">
        <is>
          <t>ALINGSÅS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46318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54073-2025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45964</v>
      </c>
      <c r="E160" s="1" t="n">
        <v>46318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46318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46318</v>
      </c>
      <c r="F162" t="inlineStr">
        <is>
          <t>VÄSTRA GÖTALANDS LÄN</t>
        </is>
      </c>
      <c r="G162" t="inlineStr">
        <is>
          <t>ALINGSÅS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46318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46318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46318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46318</v>
      </c>
      <c r="F166" t="inlineStr">
        <is>
          <t>VÄSTRA GÖTALANDS LÄN</t>
        </is>
      </c>
      <c r="G166" t="inlineStr">
        <is>
          <t>ALINGSÅS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46318</v>
      </c>
      <c r="F167" t="inlineStr">
        <is>
          <t>VÄSTRA GÖTALANDS LÄN</t>
        </is>
      </c>
      <c r="G167" t="inlineStr">
        <is>
          <t>ALINGSÅS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46318</v>
      </c>
      <c r="F168" t="inlineStr">
        <is>
          <t>VÄSTRA GÖTALANDS LÄN</t>
        </is>
      </c>
      <c r="G168" t="inlineStr">
        <is>
          <t>ALINGSÅS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45969</v>
      </c>
      <c r="E169" s="1" t="n">
        <v>46318</v>
      </c>
      <c r="F169" t="inlineStr">
        <is>
          <t>VÄSTRA GÖTALANDS LÄN</t>
        </is>
      </c>
      <c r="G169" t="inlineStr">
        <is>
          <t>ALINGSÅS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46318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46318</v>
      </c>
      <c r="F171" t="inlineStr">
        <is>
          <t>VÄSTRA GÖTALANDS LÄN</t>
        </is>
      </c>
      <c r="G171" t="inlineStr">
        <is>
          <t>ALINGSÅS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46318</v>
      </c>
      <c r="F172" t="inlineStr">
        <is>
          <t>VÄSTRA GÖTALANDS LÄN</t>
        </is>
      </c>
      <c r="G172" t="inlineStr">
        <is>
          <t>ALINGSÅS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46318</v>
      </c>
      <c r="F173" t="inlineStr">
        <is>
          <t>VÄSTRA GÖTALANDS LÄN</t>
        </is>
      </c>
      <c r="G173" t="inlineStr">
        <is>
          <t>ALINGSÅS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46318</v>
      </c>
      <c r="F174" t="inlineStr">
        <is>
          <t>VÄSTRA GÖTALANDS LÄN</t>
        </is>
      </c>
      <c r="G174" t="inlineStr">
        <is>
          <t>ALINGSÅS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46318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56116-2025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45973</v>
      </c>
      <c r="E176" s="1" t="n">
        <v>46318</v>
      </c>
      <c r="F176" t="inlineStr">
        <is>
          <t>VÄSTRA GÖTALANDS LÄN</t>
        </is>
      </c>
      <c r="G176" t="inlineStr">
        <is>
          <t>ALINGSÅS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46318</v>
      </c>
      <c r="F177" t="inlineStr">
        <is>
          <t>VÄSTRA GÖTALANDS LÄN</t>
        </is>
      </c>
      <c r="G177" t="inlineStr">
        <is>
          <t>ALINGSÅS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46318</v>
      </c>
      <c r="F178" t="inlineStr">
        <is>
          <t>VÄSTRA GÖTALANDS LÄN</t>
        </is>
      </c>
      <c r="G178" t="inlineStr">
        <is>
          <t>ALINGSÅS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22186-2025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45785</v>
      </c>
      <c r="E179" s="1" t="n">
        <v>46318</v>
      </c>
      <c r="F179" t="inlineStr">
        <is>
          <t>VÄSTRA GÖTALANDS LÄN</t>
        </is>
      </c>
      <c r="G179" t="inlineStr">
        <is>
          <t>ALINGSÅS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46318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46318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45173</v>
      </c>
      <c r="E182" s="1" t="n">
        <v>46318</v>
      </c>
      <c r="F182" t="inlineStr">
        <is>
          <t>VÄSTRA GÖTALANDS LÄN</t>
        </is>
      </c>
      <c r="G182" t="inlineStr">
        <is>
          <t>ALINGSÅS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45996</v>
      </c>
      <c r="E183" s="1" t="n">
        <v>46318</v>
      </c>
      <c r="F183" t="inlineStr">
        <is>
          <t>VÄSTRA GÖTALANDS LÄN</t>
        </is>
      </c>
      <c r="G183" t="inlineStr">
        <is>
          <t>ALINGSÅS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46318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46318</v>
      </c>
      <c r="F185" t="inlineStr">
        <is>
          <t>VÄSTRA GÖTALANDS LÄN</t>
        </is>
      </c>
      <c r="G185" t="inlineStr">
        <is>
          <t>ALINGSÅS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46318</v>
      </c>
      <c r="F186" t="inlineStr">
        <is>
          <t>VÄSTRA GÖTALANDS LÄN</t>
        </is>
      </c>
      <c r="G186" t="inlineStr">
        <is>
          <t>ALINGSÅS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46318</v>
      </c>
      <c r="F187" t="inlineStr">
        <is>
          <t>VÄSTRA GÖTALANDS LÄN</t>
        </is>
      </c>
      <c r="G187" t="inlineStr">
        <is>
          <t>ALINGSÅS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46318</v>
      </c>
      <c r="F188" t="inlineStr">
        <is>
          <t>VÄSTRA GÖTALANDS LÄN</t>
        </is>
      </c>
      <c r="G188" t="inlineStr">
        <is>
          <t>ALINGSÅS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45465</v>
      </c>
      <c r="E189" s="1" t="n">
        <v>46318</v>
      </c>
      <c r="F189" t="inlineStr">
        <is>
          <t>VÄSTRA GÖTALANDS LÄN</t>
        </is>
      </c>
      <c r="G189" t="inlineStr">
        <is>
          <t>ALINGSÅS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46318</v>
      </c>
      <c r="F190" t="inlineStr">
        <is>
          <t>VÄSTRA GÖTALANDS LÄN</t>
        </is>
      </c>
      <c r="G190" t="inlineStr">
        <is>
          <t>ALINGSÅS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46318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46318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46318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46318</v>
      </c>
      <c r="F194" t="inlineStr">
        <is>
          <t>VÄSTRA GÖTALANDS LÄN</t>
        </is>
      </c>
      <c r="G194" t="inlineStr">
        <is>
          <t>ALINGSÅS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46318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46318</v>
      </c>
      <c r="F196" t="inlineStr">
        <is>
          <t>VÄSTRA GÖTALANDS LÄN</t>
        </is>
      </c>
      <c r="G196" t="inlineStr">
        <is>
          <t>ALINGSÅS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46318</v>
      </c>
      <c r="F197" t="inlineStr">
        <is>
          <t>VÄSTRA GÖTALANDS LÄN</t>
        </is>
      </c>
      <c r="G197" t="inlineStr">
        <is>
          <t>ALINGSÅS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46318</v>
      </c>
      <c r="F198" t="inlineStr">
        <is>
          <t>VÄSTRA GÖTALANDS LÄN</t>
        </is>
      </c>
      <c r="G198" t="inlineStr">
        <is>
          <t>ALINGSÅS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46318</v>
      </c>
      <c r="F199" t="inlineStr">
        <is>
          <t>VÄSTRA GÖTALANDS LÄN</t>
        </is>
      </c>
      <c r="G199" t="inlineStr">
        <is>
          <t>ALINGSÅS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45177</v>
      </c>
      <c r="E200" s="1" t="n">
        <v>46318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46318</v>
      </c>
      <c r="F201" t="inlineStr">
        <is>
          <t>VÄSTRA GÖTALANDS LÄN</t>
        </is>
      </c>
      <c r="G201" t="inlineStr">
        <is>
          <t>ALINGSÅS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46318</v>
      </c>
      <c r="F202" t="inlineStr">
        <is>
          <t>VÄSTRA GÖTALANDS LÄN</t>
        </is>
      </c>
      <c r="G202" t="inlineStr">
        <is>
          <t>ALINGSÅS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46318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46318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46318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46176</v>
      </c>
      <c r="E206" s="1" t="n">
        <v>46318</v>
      </c>
      <c r="F206" t="inlineStr">
        <is>
          <t>VÄSTRA GÖTALANDS LÄN</t>
        </is>
      </c>
      <c r="G206" t="inlineStr">
        <is>
          <t>ALINGSÅS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46318</v>
      </c>
      <c r="F207" t="inlineStr">
        <is>
          <t>VÄSTRA GÖTALANDS LÄN</t>
        </is>
      </c>
      <c r="G207" t="inlineStr">
        <is>
          <t>ALINGSÅS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45679</v>
      </c>
      <c r="E208" s="1" t="n">
        <v>46318</v>
      </c>
      <c r="F208" t="inlineStr">
        <is>
          <t>VÄSTRA GÖTALANDS LÄN</t>
        </is>
      </c>
      <c r="G208" t="inlineStr">
        <is>
          <t>ALINGSÅS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46318</v>
      </c>
      <c r="F209" t="inlineStr">
        <is>
          <t>VÄSTRA GÖTALANDS LÄN</t>
        </is>
      </c>
      <c r="G209" t="inlineStr">
        <is>
          <t>ALINGSÅS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46318</v>
      </c>
      <c r="F210" t="inlineStr">
        <is>
          <t>VÄSTRA GÖTALANDS LÄN</t>
        </is>
      </c>
      <c r="G210" t="inlineStr">
        <is>
          <t>ALINGSÅS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46318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46318</v>
      </c>
      <c r="F212" t="inlineStr">
        <is>
          <t>VÄSTRA GÖTALANDS LÄN</t>
        </is>
      </c>
      <c r="G212" t="inlineStr">
        <is>
          <t>ALINGSÅS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46318</v>
      </c>
      <c r="F213" t="inlineStr">
        <is>
          <t>VÄSTRA GÖTALANDS LÄN</t>
        </is>
      </c>
      <c r="G213" t="inlineStr">
        <is>
          <t>ALINGSÅS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46318</v>
      </c>
      <c r="F214" t="inlineStr">
        <is>
          <t>VÄSTRA GÖTALANDS LÄN</t>
        </is>
      </c>
      <c r="G214" t="inlineStr">
        <is>
          <t>ALINGSÅS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45111</v>
      </c>
      <c r="E215" s="1" t="n">
        <v>46318</v>
      </c>
      <c r="F215" t="inlineStr">
        <is>
          <t>VÄSTRA GÖTALANDS LÄN</t>
        </is>
      </c>
      <c r="G215" t="inlineStr">
        <is>
          <t>ALINGSÅS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44631</v>
      </c>
      <c r="E216" s="1" t="n">
        <v>46318</v>
      </c>
      <c r="F216" t="inlineStr">
        <is>
          <t>VÄSTRA GÖTALANDS LÄN</t>
        </is>
      </c>
      <c r="G216" t="inlineStr">
        <is>
          <t>ALINGSÅS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46318</v>
      </c>
      <c r="F217" t="inlineStr">
        <is>
          <t>VÄSTRA GÖTALANDS LÄN</t>
        </is>
      </c>
      <c r="G217" t="inlineStr">
        <is>
          <t>ALINGSÅS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44991</v>
      </c>
      <c r="E218" s="1" t="n">
        <v>46318</v>
      </c>
      <c r="F218" t="inlineStr">
        <is>
          <t>VÄSTRA GÖTALANDS LÄN</t>
        </is>
      </c>
      <c r="G218" t="inlineStr">
        <is>
          <t>ALINGSÅS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46318</v>
      </c>
      <c r="F219" t="inlineStr">
        <is>
          <t>VÄSTRA GÖTALANDS LÄN</t>
        </is>
      </c>
      <c r="G219" t="inlineStr">
        <is>
          <t>ALINGSÅS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46318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45406</v>
      </c>
      <c r="E221" s="1" t="n">
        <v>46318</v>
      </c>
      <c r="F221" t="inlineStr">
        <is>
          <t>VÄSTRA GÖTALANDS LÄN</t>
        </is>
      </c>
      <c r="G221" t="inlineStr">
        <is>
          <t>ALINGSÅS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46318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46318</v>
      </c>
      <c r="F223" t="inlineStr">
        <is>
          <t>VÄSTRA GÖTALANDS LÄN</t>
        </is>
      </c>
      <c r="G223" t="inlineStr">
        <is>
          <t>ALINGSÅS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46318</v>
      </c>
      <c r="F224" t="inlineStr">
        <is>
          <t>VÄSTRA GÖTALANDS LÄN</t>
        </is>
      </c>
      <c r="G224" t="inlineStr">
        <is>
          <t>ALINGSÅS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46318</v>
      </c>
      <c r="F225" t="inlineStr">
        <is>
          <t>VÄSTRA GÖTALANDS LÄN</t>
        </is>
      </c>
      <c r="G225" t="inlineStr">
        <is>
          <t>ALINGSÅS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46189</v>
      </c>
      <c r="E226" s="1" t="n">
        <v>46318</v>
      </c>
      <c r="F226" t="inlineStr">
        <is>
          <t>VÄSTRA GÖTALANDS LÄN</t>
        </is>
      </c>
      <c r="G226" t="inlineStr">
        <is>
          <t>ALINGSÅS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46191</v>
      </c>
      <c r="E227" s="1" t="n">
        <v>46318</v>
      </c>
      <c r="F227" t="inlineStr">
        <is>
          <t>VÄSTRA GÖTALANDS LÄN</t>
        </is>
      </c>
      <c r="G227" t="inlineStr">
        <is>
          <t>ALINGSÅS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46318</v>
      </c>
      <c r="F228" t="inlineStr">
        <is>
          <t>VÄSTRA GÖTALANDS LÄN</t>
        </is>
      </c>
      <c r="G228" t="inlineStr">
        <is>
          <t>ALINGSÅS</t>
        </is>
      </c>
      <c r="I228" t="n">
        <v>21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46318</v>
      </c>
      <c r="F229" t="inlineStr">
        <is>
          <t>VÄSTRA GÖTALANDS LÄN</t>
        </is>
      </c>
      <c r="G229" t="inlineStr">
        <is>
          <t>ALINGSÅS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46086</v>
      </c>
      <c r="E230" s="1" t="n">
        <v>46318</v>
      </c>
      <c r="F230" t="inlineStr">
        <is>
          <t>VÄSTRA GÖTALANDS LÄN</t>
        </is>
      </c>
      <c r="G230" t="inlineStr">
        <is>
          <t>ALINGSÅS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45681</v>
      </c>
      <c r="E231" s="1" t="n">
        <v>46318</v>
      </c>
      <c r="F231" t="inlineStr">
        <is>
          <t>VÄSTRA GÖTALANDS LÄN</t>
        </is>
      </c>
      <c r="G231" t="inlineStr">
        <is>
          <t>ALINGSÅS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46318</v>
      </c>
      <c r="F232" t="inlineStr">
        <is>
          <t>VÄSTRA GÖTALANDS LÄN</t>
        </is>
      </c>
      <c r="G232" t="inlineStr">
        <is>
          <t>ALINGSÅS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46318</v>
      </c>
      <c r="F233" t="inlineStr">
        <is>
          <t>VÄSTRA GÖTALANDS LÄN</t>
        </is>
      </c>
      <c r="G233" t="inlineStr">
        <is>
          <t>ALINGSÅS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46314</v>
      </c>
      <c r="E234" s="1" t="n">
        <v>46318</v>
      </c>
      <c r="F234" t="inlineStr">
        <is>
          <t>VÄSTRA GÖTALANDS LÄN</t>
        </is>
      </c>
      <c r="G234" t="inlineStr">
        <is>
          <t>ALINGSÅS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46314</v>
      </c>
      <c r="E235" s="1" t="n">
        <v>46318</v>
      </c>
      <c r="F235" t="inlineStr">
        <is>
          <t>VÄSTRA GÖTALANDS LÄN</t>
        </is>
      </c>
      <c r="G235" t="inlineStr">
        <is>
          <t>ALINGSÅS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43835-2026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46316</v>
      </c>
      <c r="E236" s="1" t="n">
        <v>46318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46318</v>
      </c>
      <c r="F237" t="inlineStr">
        <is>
          <t>VÄSTRA GÖTALANDS LÄN</t>
        </is>
      </c>
      <c r="G237" t="inlineStr">
        <is>
          <t>ALINGSÅS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46318</v>
      </c>
      <c r="F238" t="inlineStr">
        <is>
          <t>VÄSTRA GÖTALANDS LÄN</t>
        </is>
      </c>
      <c r="G238" t="inlineStr">
        <is>
          <t>ALINGSÅS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46318</v>
      </c>
      <c r="F239" t="inlineStr">
        <is>
          <t>VÄSTRA GÖTALANDS LÄN</t>
        </is>
      </c>
      <c r="G239" t="inlineStr">
        <is>
          <t>ALINGSÅS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46318</v>
      </c>
      <c r="F240" t="inlineStr">
        <is>
          <t>VÄSTRA GÖTALANDS LÄN</t>
        </is>
      </c>
      <c r="G240" t="inlineStr">
        <is>
          <t>ALINGSÅS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46318</v>
      </c>
      <c r="F241" t="inlineStr">
        <is>
          <t>VÄSTRA GÖTALANDS LÄN</t>
        </is>
      </c>
      <c r="G241" t="inlineStr">
        <is>
          <t>ALINGSÅS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45687</v>
      </c>
      <c r="E242" s="1" t="n">
        <v>46318</v>
      </c>
      <c r="F242" t="inlineStr">
        <is>
          <t>VÄSTRA GÖTALANDS LÄN</t>
        </is>
      </c>
      <c r="G242" t="inlineStr">
        <is>
          <t>ALINGSÅS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46318</v>
      </c>
      <c r="F243" t="inlineStr">
        <is>
          <t>VÄSTRA GÖTALANDS LÄN</t>
        </is>
      </c>
      <c r="G243" t="inlineStr">
        <is>
          <t>ALINGSÅS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46318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46318</v>
      </c>
      <c r="F245" t="inlineStr">
        <is>
          <t>VÄSTRA GÖTALANDS LÄN</t>
        </is>
      </c>
      <c r="G245" t="inlineStr">
        <is>
          <t>ALINGSÅS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46318</v>
      </c>
      <c r="F246" t="inlineStr">
        <is>
          <t>VÄSTRA GÖTALANDS LÄN</t>
        </is>
      </c>
      <c r="G246" t="inlineStr">
        <is>
          <t>ALINGSÅS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18360-2026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46126</v>
      </c>
      <c r="E247" s="1" t="n">
        <v>46318</v>
      </c>
      <c r="F247" t="inlineStr">
        <is>
          <t>VÄSTRA GÖTALANDS LÄN</t>
        </is>
      </c>
      <c r="G247" t="inlineStr">
        <is>
          <t>ALINGSÅS</t>
        </is>
      </c>
      <c r="H247" t="inlineStr">
        <is>
          <t>Kommuner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45261</v>
      </c>
      <c r="E248" s="1" t="n">
        <v>46318</v>
      </c>
      <c r="F248" t="inlineStr">
        <is>
          <t>VÄSTRA GÖTALANDS LÄN</t>
        </is>
      </c>
      <c r="G248" t="inlineStr">
        <is>
          <t>ALINGSÅS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46129</v>
      </c>
      <c r="E249" s="1" t="n">
        <v>46318</v>
      </c>
      <c r="F249" t="inlineStr">
        <is>
          <t>VÄSTRA GÖTALANDS LÄN</t>
        </is>
      </c>
      <c r="G249" t="inlineStr">
        <is>
          <t>ALINGSÅS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46318</v>
      </c>
      <c r="F250" t="inlineStr">
        <is>
          <t>VÄSTRA GÖTALANDS LÄN</t>
        </is>
      </c>
      <c r="G250" t="inlineStr">
        <is>
          <t>ALINGSÅS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46318</v>
      </c>
      <c r="F251" t="inlineStr">
        <is>
          <t>VÄSTRA GÖTALANDS LÄN</t>
        </is>
      </c>
      <c r="G251" t="inlineStr">
        <is>
          <t>ALINGSÅS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46318</v>
      </c>
      <c r="F252" t="inlineStr">
        <is>
          <t>VÄSTRA GÖTALANDS LÄN</t>
        </is>
      </c>
      <c r="G252" t="inlineStr">
        <is>
          <t>ALINGSÅS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46131</v>
      </c>
      <c r="E253" s="1" t="n">
        <v>46318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63143-2021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44505</v>
      </c>
      <c r="E254" s="1" t="n">
        <v>46318</v>
      </c>
      <c r="F254" t="inlineStr">
        <is>
          <t>VÄSTRA GÖTALANDS LÄN</t>
        </is>
      </c>
      <c r="G254" t="inlineStr">
        <is>
          <t>ALINGSÅS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46232</v>
      </c>
      <c r="E255" s="1" t="n">
        <v>46318</v>
      </c>
      <c r="F255" t="inlineStr">
        <is>
          <t>VÄSTRA GÖTALANDS LÄN</t>
        </is>
      </c>
      <c r="G255" t="inlineStr">
        <is>
          <t>ALINGSÅS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46318</v>
      </c>
      <c r="F256" t="inlineStr">
        <is>
          <t>VÄSTRA GÖTALANDS LÄN</t>
        </is>
      </c>
      <c r="G256" t="inlineStr">
        <is>
          <t>ALINGSÅS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24579-2022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44727</v>
      </c>
      <c r="E257" s="1" t="n">
        <v>46318</v>
      </c>
      <c r="F257" t="inlineStr">
        <is>
          <t>VÄSTRA GÖTALANDS LÄN</t>
        </is>
      </c>
      <c r="G257" t="inlineStr">
        <is>
          <t>ALINGSÅS</t>
        </is>
      </c>
      <c r="I257" t="n">
        <v>10.4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32286-2024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45512</v>
      </c>
      <c r="E258" s="1" t="n">
        <v>46318</v>
      </c>
      <c r="F258" t="inlineStr">
        <is>
          <t>VÄSTRA GÖTALANDS LÄN</t>
        </is>
      </c>
      <c r="G258" t="inlineStr">
        <is>
          <t>ALINGSÅS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46318</v>
      </c>
      <c r="F259" t="inlineStr">
        <is>
          <t>VÄSTRA GÖTALANDS LÄN</t>
        </is>
      </c>
      <c r="G259" t="inlineStr">
        <is>
          <t>ALINGSÅS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46318</v>
      </c>
      <c r="F260" t="inlineStr">
        <is>
          <t>VÄSTRA GÖTALANDS LÄN</t>
        </is>
      </c>
      <c r="G260" t="inlineStr">
        <is>
          <t>ALINGSÅS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46318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45468</v>
      </c>
      <c r="E262" s="1" t="n">
        <v>46318</v>
      </c>
      <c r="F262" t="inlineStr">
        <is>
          <t>VÄSTRA GÖTALANDS LÄN</t>
        </is>
      </c>
      <c r="G262" t="inlineStr">
        <is>
          <t>ALINGSÅS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46318</v>
      </c>
      <c r="F263" t="inlineStr">
        <is>
          <t>VÄSTRA GÖTALANDS LÄN</t>
        </is>
      </c>
      <c r="G263" t="inlineStr">
        <is>
          <t>ALINGSÅS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46318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46245</v>
      </c>
      <c r="E265" s="1" t="n">
        <v>46318</v>
      </c>
      <c r="F265" t="inlineStr">
        <is>
          <t>VÄSTRA GÖTALANDS LÄN</t>
        </is>
      </c>
      <c r="G265" t="inlineStr">
        <is>
          <t>ALINGSÅS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46289</v>
      </c>
      <c r="E266" s="1" t="n">
        <v>46318</v>
      </c>
      <c r="F266" t="inlineStr">
        <is>
          <t>VÄSTRA GÖTALANDS LÄN</t>
        </is>
      </c>
      <c r="G266" t="inlineStr">
        <is>
          <t>ALINGSÅS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46318</v>
      </c>
      <c r="F267" t="inlineStr">
        <is>
          <t>VÄSTRA GÖTALANDS LÄN</t>
        </is>
      </c>
      <c r="G267" t="inlineStr">
        <is>
          <t>ALINGSÅS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46318</v>
      </c>
      <c r="F268" t="inlineStr">
        <is>
          <t>VÄSTRA GÖTALANDS LÄN</t>
        </is>
      </c>
      <c r="G268" t="inlineStr">
        <is>
          <t>ALINGSÅS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46318</v>
      </c>
      <c r="F269" t="inlineStr">
        <is>
          <t>VÄSTRA GÖTALANDS LÄN</t>
        </is>
      </c>
      <c r="G269" t="inlineStr">
        <is>
          <t>ALINGSÅS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46318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46318</v>
      </c>
      <c r="F271" t="inlineStr">
        <is>
          <t>VÄSTRA GÖTALANDS LÄN</t>
        </is>
      </c>
      <c r="G271" t="inlineStr">
        <is>
          <t>ALINGSÅS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46318</v>
      </c>
      <c r="F272" t="inlineStr">
        <is>
          <t>VÄSTRA GÖTALANDS LÄN</t>
        </is>
      </c>
      <c r="G272" t="inlineStr">
        <is>
          <t>ALINGSÅS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45465</v>
      </c>
      <c r="E273" s="1" t="n">
        <v>46318</v>
      </c>
      <c r="F273" t="inlineStr">
        <is>
          <t>VÄSTRA GÖTALANDS LÄN</t>
        </is>
      </c>
      <c r="G273" t="inlineStr">
        <is>
          <t>ALINGSÅS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46290</v>
      </c>
      <c r="E274" s="1" t="n">
        <v>46318</v>
      </c>
      <c r="F274" t="inlineStr">
        <is>
          <t>VÄSTRA GÖTALANDS LÄN</t>
        </is>
      </c>
      <c r="G274" t="inlineStr">
        <is>
          <t>ALINGSÅS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46290</v>
      </c>
      <c r="E275" s="1" t="n">
        <v>46318</v>
      </c>
      <c r="F275" t="inlineStr">
        <is>
          <t>VÄSTRA GÖTALANDS LÄN</t>
        </is>
      </c>
      <c r="G275" t="inlineStr">
        <is>
          <t>ALINGSÅS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44896</v>
      </c>
      <c r="E276" s="1" t="n">
        <v>46318</v>
      </c>
      <c r="F276" t="inlineStr">
        <is>
          <t>VÄSTRA GÖTALANDS LÄN</t>
        </is>
      </c>
      <c r="G276" t="inlineStr">
        <is>
          <t>ALINGSÅS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39612-2026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46289</v>
      </c>
      <c r="E277" s="1" t="n">
        <v>46318</v>
      </c>
      <c r="F277" t="inlineStr">
        <is>
          <t>VÄSTRA GÖTALANDS LÄN</t>
        </is>
      </c>
      <c r="G277" t="inlineStr">
        <is>
          <t>ALINGSÅS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46294</v>
      </c>
      <c r="E278" s="1" t="n">
        <v>46318</v>
      </c>
      <c r="F278" t="inlineStr">
        <is>
          <t>VÄSTRA GÖTALANDS LÄN</t>
        </is>
      </c>
      <c r="G278" t="inlineStr">
        <is>
          <t>ALINGSÅS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46296</v>
      </c>
      <c r="E279" s="1" t="n">
        <v>46318</v>
      </c>
      <c r="F279" t="inlineStr">
        <is>
          <t>VÄSTRA GÖTALANDS LÄN</t>
        </is>
      </c>
      <c r="G279" t="inlineStr">
        <is>
          <t>ALINGSÅS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45133</v>
      </c>
      <c r="E280" s="1" t="n">
        <v>46318</v>
      </c>
      <c r="F280" t="inlineStr">
        <is>
          <t>VÄSTRA GÖTALANDS LÄN</t>
        </is>
      </c>
      <c r="G280" t="inlineStr">
        <is>
          <t>ALINGSÅS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46318</v>
      </c>
      <c r="F281" t="inlineStr">
        <is>
          <t>VÄSTRA GÖTALANDS LÄN</t>
        </is>
      </c>
      <c r="G281" t="inlineStr">
        <is>
          <t>ALINGSÅS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46318</v>
      </c>
      <c r="F282" t="inlineStr">
        <is>
          <t>VÄSTRA GÖTALANDS LÄN</t>
        </is>
      </c>
      <c r="G282" t="inlineStr">
        <is>
          <t>ALINGSÅS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8080-2023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46318</v>
      </c>
      <c r="F283" t="inlineStr">
        <is>
          <t>VÄSTRA GÖTALANDS LÄN</t>
        </is>
      </c>
      <c r="G283" t="inlineStr">
        <is>
          <t>ALINGSÅS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46318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46296</v>
      </c>
      <c r="E285" s="1" t="n">
        <v>46318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44596</v>
      </c>
      <c r="E286" s="1" t="n">
        <v>46318</v>
      </c>
      <c r="F286" t="inlineStr">
        <is>
          <t>VÄSTRA GÖTALANDS LÄN</t>
        </is>
      </c>
      <c r="G286" t="inlineStr">
        <is>
          <t>ALINGSÅS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46318</v>
      </c>
      <c r="F287" t="inlineStr">
        <is>
          <t>VÄSTRA GÖTALANDS LÄN</t>
        </is>
      </c>
      <c r="G287" t="inlineStr">
        <is>
          <t>ALINGSÅS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46318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46300</v>
      </c>
      <c r="E289" s="1" t="n">
        <v>46318</v>
      </c>
      <c r="F289" t="inlineStr">
        <is>
          <t>VÄSTRA GÖTALANDS LÄN</t>
        </is>
      </c>
      <c r="G289" t="inlineStr">
        <is>
          <t>ALINGSÅS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45257</v>
      </c>
      <c r="E290" s="1" t="n">
        <v>46318</v>
      </c>
      <c r="F290" t="inlineStr">
        <is>
          <t>VÄSTRA GÖTALANDS LÄN</t>
        </is>
      </c>
      <c r="G290" t="inlineStr">
        <is>
          <t>ALINGSÅS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46318</v>
      </c>
      <c r="F291" t="inlineStr">
        <is>
          <t>VÄSTRA GÖTALANDS LÄN</t>
        </is>
      </c>
      <c r="G291" t="inlineStr">
        <is>
          <t>ALINGSÅS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46299</v>
      </c>
      <c r="E292" s="1" t="n">
        <v>46318</v>
      </c>
      <c r="F292" t="inlineStr">
        <is>
          <t>VÄSTRA GÖTALANDS LÄN</t>
        </is>
      </c>
      <c r="G292" t="inlineStr">
        <is>
          <t>ALINGSÅS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46255</v>
      </c>
      <c r="E293" s="1" t="n">
        <v>46318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9181-2022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44615</v>
      </c>
      <c r="E294" s="1" t="n">
        <v>46318</v>
      </c>
      <c r="F294" t="inlineStr">
        <is>
          <t>VÄSTRA GÖTALANDS LÄN</t>
        </is>
      </c>
      <c r="G294" t="inlineStr">
        <is>
          <t>ALINGSÅS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44832</v>
      </c>
      <c r="E295" s="1" t="n">
        <v>46318</v>
      </c>
      <c r="F295" t="inlineStr">
        <is>
          <t>VÄSTRA GÖTALANDS LÄN</t>
        </is>
      </c>
      <c r="G295" t="inlineStr">
        <is>
          <t>ALINGSÅS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25141-2022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44729</v>
      </c>
      <c r="E296" s="1" t="n">
        <v>46318</v>
      </c>
      <c r="F296" t="inlineStr">
        <is>
          <t>VÄSTRA GÖTALANDS LÄN</t>
        </is>
      </c>
      <c r="G296" t="inlineStr">
        <is>
          <t>ALINGSÅS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46302</v>
      </c>
      <c r="E297" s="1" t="n">
        <v>46318</v>
      </c>
      <c r="F297" t="inlineStr">
        <is>
          <t>VÄSTRA GÖTALANDS LÄN</t>
        </is>
      </c>
      <c r="G297" t="inlineStr">
        <is>
          <t>ALINGSÅS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45371</v>
      </c>
      <c r="E298" s="1" t="n">
        <v>46318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41634-2026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46302</v>
      </c>
      <c r="E299" s="1" t="n">
        <v>46318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46318</v>
      </c>
      <c r="F300" t="inlineStr">
        <is>
          <t>VÄSTRA GÖTALANDS LÄN</t>
        </is>
      </c>
      <c r="G300" t="inlineStr">
        <is>
          <t>ALINGSÅS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46307</v>
      </c>
      <c r="E301" s="1" t="n">
        <v>46318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45412</v>
      </c>
      <c r="E302" s="1" t="n">
        <v>46318</v>
      </c>
      <c r="F302" t="inlineStr">
        <is>
          <t>VÄSTRA GÖTALANDS LÄN</t>
        </is>
      </c>
      <c r="G302" t="inlineStr">
        <is>
          <t>ALINGSÅS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45310</v>
      </c>
      <c r="E303" s="1" t="n">
        <v>46318</v>
      </c>
      <c r="F303" t="inlineStr">
        <is>
          <t>VÄSTRA GÖTALANDS LÄN</t>
        </is>
      </c>
      <c r="G303" t="inlineStr">
        <is>
          <t>ALINGSÅS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46262</v>
      </c>
      <c r="E304" s="1" t="n">
        <v>46318</v>
      </c>
      <c r="F304" t="inlineStr">
        <is>
          <t>VÄSTRA GÖTALANDS LÄN</t>
        </is>
      </c>
      <c r="G304" t="inlineStr">
        <is>
          <t>ALINGSÅS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44821</v>
      </c>
      <c r="E305" s="1" t="n">
        <v>46318</v>
      </c>
      <c r="F305" t="inlineStr">
        <is>
          <t>VÄSTRA GÖTALANDS LÄN</t>
        </is>
      </c>
      <c r="G305" t="inlineStr">
        <is>
          <t>ALINGSÅS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45420</v>
      </c>
      <c r="E306" s="1" t="n">
        <v>46318</v>
      </c>
      <c r="F306" t="inlineStr">
        <is>
          <t>VÄSTRA GÖTALANDS LÄN</t>
        </is>
      </c>
      <c r="G306" t="inlineStr">
        <is>
          <t>ALINGSÅS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36000-2026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46266</v>
      </c>
      <c r="E307" s="1" t="n">
        <v>46318</v>
      </c>
      <c r="F307" t="inlineStr">
        <is>
          <t>VÄSTRA GÖTALANDS LÄN</t>
        </is>
      </c>
      <c r="G307" t="inlineStr">
        <is>
          <t>ALINGSÅS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45380</v>
      </c>
      <c r="E308" s="1" t="n">
        <v>46318</v>
      </c>
      <c r="F308" t="inlineStr">
        <is>
          <t>VÄSTRA GÖTALANDS LÄN</t>
        </is>
      </c>
      <c r="G308" t="inlineStr">
        <is>
          <t>ALINGSÅS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44727</v>
      </c>
      <c r="E309" s="1" t="n">
        <v>46318</v>
      </c>
      <c r="F309" t="inlineStr">
        <is>
          <t>VÄSTRA GÖTALANDS LÄN</t>
        </is>
      </c>
      <c r="G309" t="inlineStr">
        <is>
          <t>ALINGSÅS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46318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23559-2022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44721</v>
      </c>
      <c r="E311" s="1" t="n">
        <v>46318</v>
      </c>
      <c r="F311" t="inlineStr">
        <is>
          <t>VÄSTRA GÖTALANDS LÄN</t>
        </is>
      </c>
      <c r="G311" t="inlineStr">
        <is>
          <t>ALINGSÅS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46318</v>
      </c>
      <c r="F312" t="inlineStr">
        <is>
          <t>VÄSTRA GÖTALANDS LÄN</t>
        </is>
      </c>
      <c r="G312" t="inlineStr">
        <is>
          <t>ALINGSÅS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45399</v>
      </c>
      <c r="E313" s="1" t="n">
        <v>46318</v>
      </c>
      <c r="F313" t="inlineStr">
        <is>
          <t>VÄSTRA GÖTALANDS LÄN</t>
        </is>
      </c>
      <c r="G313" t="inlineStr">
        <is>
          <t>ALINGSÅS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48082-2024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46318</v>
      </c>
      <c r="F314" t="inlineStr">
        <is>
          <t>VÄSTRA GÖTALANDS LÄN</t>
        </is>
      </c>
      <c r="G314" t="inlineStr">
        <is>
          <t>ALINGSÅS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44831</v>
      </c>
      <c r="E315" s="1" t="n">
        <v>46318</v>
      </c>
      <c r="F315" t="inlineStr">
        <is>
          <t>VÄSTRA GÖTALANDS LÄN</t>
        </is>
      </c>
      <c r="G315" t="inlineStr">
        <is>
          <t>ALINGSÅS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21727-2022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44708</v>
      </c>
      <c r="E316" s="1" t="n">
        <v>46318</v>
      </c>
      <c r="F316" t="inlineStr">
        <is>
          <t>VÄSTRA GÖTALANDS LÄN</t>
        </is>
      </c>
      <c r="G316" t="inlineStr">
        <is>
          <t>ALINGSÅS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45075</v>
      </c>
      <c r="E317" s="1" t="n">
        <v>46318</v>
      </c>
      <c r="F317" t="inlineStr">
        <is>
          <t>VÄSTRA GÖTALANDS LÄN</t>
        </is>
      </c>
      <c r="G317" t="inlineStr">
        <is>
          <t>ALINGSÅS</t>
        </is>
      </c>
      <c r="I317" t="n">
        <v>13.1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46318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46318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46318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46318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46318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46318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46318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46318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46318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46318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2026-10-23T02:03:55Z</dcterms:created>
  <dcterms:modified xmlns:dcterms="http://purl.org/dc/terms/" xmlns:xsi="http://www.w3.org/2001/XMLSchema-instance" xsi:type="dcterms:W3CDTF">2026-10-23T02:03:56Z</dcterms:modified>
</cp:coreProperties>
</file>