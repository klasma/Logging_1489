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46253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46253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46253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46253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46253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46253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46253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46253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46253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46253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46253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46253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46253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46253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46253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46253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46253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46253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Vågbandad barkbock
Nattskärra</t>
        </is>
      </c>
      <c r="W19">
        <f>HYPERLINK("https://klasma.github.io/Logging_1489/artfynd/A 4187-2026 artfynd.xlsx", "A 4187-2026")</f>
        <v/>
      </c>
      <c r="X19">
        <f>HYPERLINK("https://klasma.github.io/Logging_1489/kartor/A 4187-2026 karta.png", "A 4187-2026")</f>
        <v/>
      </c>
      <c r="Y19">
        <f>HYPERLINK("https://klasma.github.io/Logging_1489/kartor_geotiff/A 4187-2026 georefererad karta.tif", "A 4187-2026")</f>
        <v/>
      </c>
      <c r="AA19">
        <f>HYPERLINK("https://klasma.github.io/Logging_1489/klagomål/A 4187-2026 FSC-klagomål.docx", "A 4187-2026")</f>
        <v/>
      </c>
      <c r="AB19">
        <f>HYPERLINK("https://klasma.github.io/Logging_1489/klagomålsmail/A 4187-2026 FSC-klagomål mail.docx", "A 4187-2026")</f>
        <v/>
      </c>
      <c r="AC19">
        <f>HYPERLINK("https://klasma.github.io/Logging_1489/tillsyn/A 4187-2026 tillsynsbegäran.docx", "A 4187-2026")</f>
        <v/>
      </c>
      <c r="AD19">
        <f>HYPERLINK("https://klasma.github.io/Logging_1489/tillsynsmail/A 4187-2026 tillsynsbegäran mail.docx", "A 4187-2026")</f>
        <v/>
      </c>
      <c r="AE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46253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46253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33174-2026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46245</v>
      </c>
      <c r="E22" s="1" t="n">
        <v>46253</v>
      </c>
      <c r="F22" t="inlineStr">
        <is>
          <t>VÄSTRA GÖTALANDS LÄN</t>
        </is>
      </c>
      <c r="G22" t="inlineStr">
        <is>
          <t>ALINGSÅS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skogssnigel
Havstulpanlav</t>
        </is>
      </c>
      <c r="W22">
        <f>HYPERLINK("https://klasma.github.io/Logging_1489/artfynd/A 33174-2026 artfynd.xlsx", "A 33174-2026")</f>
        <v/>
      </c>
      <c r="X22">
        <f>HYPERLINK("https://klasma.github.io/Logging_1489/kartor/A 33174-2026 karta.png", "A 33174-2026")</f>
        <v/>
      </c>
      <c r="Y22">
        <f>HYPERLINK("https://klasma.github.io/Logging_1489/kartor_geotiff/A 33174-2026 georefererad karta.tif", "A 33174-2026")</f>
        <v/>
      </c>
      <c r="AA22">
        <f>HYPERLINK("https://klasma.github.io/Logging_1489/klagomål/A 33174-2026 FSC-klagomål.docx", "A 33174-2026")</f>
        <v/>
      </c>
      <c r="AB22">
        <f>HYPERLINK("https://klasma.github.io/Logging_1489/klagomålsmail/A 33174-2026 FSC-klagomål mail.docx", "A 33174-2026")</f>
        <v/>
      </c>
      <c r="AC22">
        <f>HYPERLINK("https://klasma.github.io/Logging_1489/tillsyn/A 33174-2026 tillsynsbegäran.docx", "A 33174-2026")</f>
        <v/>
      </c>
      <c r="AD22">
        <f>HYPERLINK("https://klasma.github.io/Logging_1489/tillsynsmail/A 33174-2026 tillsynsbegäran mail.docx", "A 33174-2026")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46253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46253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51927-2024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46253</v>
      </c>
      <c r="F25" t="inlineStr">
        <is>
          <t>VÄSTRA GÖTALANDS LÄN</t>
        </is>
      </c>
      <c r="G25" t="inlineStr">
        <is>
          <t>ALINGSÅS</t>
        </is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Strandlummer</t>
        </is>
      </c>
      <c r="W25">
        <f>HYPERLINK("https://klasma.github.io/Logging_1489/artfynd/A 51927-2024 artfynd.xlsx", "A 51927-2024")</f>
        <v/>
      </c>
      <c r="X25">
        <f>HYPERLINK("https://klasma.github.io/Logging_1489/kartor/A 51927-2024 karta.png", "A 51927-2024")</f>
        <v/>
      </c>
      <c r="Y25">
        <f>HYPERLINK("https://klasma.github.io/Logging_1489/kartor_geotiff/A 51927-2024 georefererad karta.tif", "A 51927-2024")</f>
        <v/>
      </c>
      <c r="AA25">
        <f>HYPERLINK("https://klasma.github.io/Logging_1489/klagomål/A 51927-2024 FSC-klagomål.docx", "A 51927-2024")</f>
        <v/>
      </c>
      <c r="AB25">
        <f>HYPERLINK("https://klasma.github.io/Logging_1489/klagomålsmail/A 51927-2024 FSC-klagomål mail.docx", "A 51927-2024")</f>
        <v/>
      </c>
      <c r="AC25">
        <f>HYPERLINK("https://klasma.github.io/Logging_1489/tillsyn/A 51927-2024 tillsynsbegäran.docx", "A 51927-2024")</f>
        <v/>
      </c>
      <c r="AD25">
        <f>HYPERLINK("https://klasma.github.io/Logging_1489/tillsynsmail/A 51927-2024 tillsynsbegäran mail.docx", "A 51927-2024")</f>
        <v/>
      </c>
    </row>
    <row r="26" ht="15" customHeight="1">
      <c r="A26" t="inlineStr">
        <is>
          <t>A 10542-2024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45366</v>
      </c>
      <c r="E26" s="1" t="n">
        <v>46253</v>
      </c>
      <c r="F26" t="inlineStr">
        <is>
          <t>VÄSTRA GÖTALANDS LÄN</t>
        </is>
      </c>
      <c r="G26" t="inlineStr">
        <is>
          <t>ALINGSÅS</t>
        </is>
      </c>
      <c r="I26" t="n">
        <v>2.6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HYPERLINK("https://klasma.github.io/Logging_1489/artfynd/A 10542-2024 artfynd.xlsx", "A 10542-2024")</f>
        <v/>
      </c>
      <c r="X26">
        <f>HYPERLINK("https://klasma.github.io/Logging_1489/kartor/A 10542-2024 karta.png", "A 10542-2024")</f>
        <v/>
      </c>
      <c r="Y26">
        <f>HYPERLINK("https://klasma.github.io/Logging_1489/kartor_geotiff/A 10542-2024 georefererad karta.tif", "A 10542-2024")</f>
        <v/>
      </c>
      <c r="AA26">
        <f>HYPERLINK("https://klasma.github.io/Logging_1489/klagomål/A 10542-2024 FSC-klagomål.docx", "A 10542-2024")</f>
        <v/>
      </c>
      <c r="AB26">
        <f>HYPERLINK("https://klasma.github.io/Logging_1489/klagomålsmail/A 10542-2024 FSC-klagomål mail.docx", "A 10542-2024")</f>
        <v/>
      </c>
      <c r="AC26">
        <f>HYPERLINK("https://klasma.github.io/Logging_1489/tillsyn/A 10542-2024 tillsynsbegäran.docx", "A 10542-2024")</f>
        <v/>
      </c>
      <c r="AD26">
        <f>HYPERLINK("https://klasma.github.io/Logging_1489/tillsynsmail/A 10542-2024 tillsynsbegäran mail.docx", "A 10542-2024")</f>
        <v/>
      </c>
    </row>
    <row r="27" ht="15" customHeight="1">
      <c r="A27" t="inlineStr">
        <is>
          <t>A 4205-2026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46253</v>
      </c>
      <c r="F27" t="inlineStr">
        <is>
          <t>VÄSTRA GÖTALANDS LÄN</t>
        </is>
      </c>
      <c r="G27" t="inlineStr">
        <is>
          <t>ALINGSÅS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HYPERLINK("https://klasma.github.io/Logging_1489/artfynd/A 4205-2026 artfynd.xlsx", "A 4205-2026")</f>
        <v/>
      </c>
      <c r="X27">
        <f>HYPERLINK("https://klasma.github.io/Logging_1489/kartor/A 4205-2026 karta.png", "A 4205-2026")</f>
        <v/>
      </c>
      <c r="Y27">
        <f>HYPERLINK("https://klasma.github.io/Logging_1489/kartor_geotiff/A 4205-2026 georefererad karta.tif", "A 4205-2026")</f>
        <v/>
      </c>
      <c r="AA27">
        <f>HYPERLINK("https://klasma.github.io/Logging_1489/klagomål/A 4205-2026 FSC-klagomål.docx", "A 4205-2026")</f>
        <v/>
      </c>
      <c r="AB27">
        <f>HYPERLINK("https://klasma.github.io/Logging_1489/klagomålsmail/A 4205-2026 FSC-klagomål mail.docx", "A 4205-2026")</f>
        <v/>
      </c>
      <c r="AC27">
        <f>HYPERLINK("https://klasma.github.io/Logging_1489/tillsyn/A 4205-2026 tillsynsbegäran.docx", "A 4205-2026")</f>
        <v/>
      </c>
      <c r="AD27">
        <f>HYPERLINK("https://klasma.github.io/Logging_1489/tillsynsmail/A 4205-2026 tillsynsbegäran mail.docx", "A 4205-2026")</f>
        <v/>
      </c>
      <c r="AE27">
        <f>HYPERLINK("https://klasma.github.io/Logging_1489/fåglar/A 4205-2026 prioriterade fågelarter.docx", "A 4205-2026")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46253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15986-2026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46253</v>
      </c>
      <c r="F29" t="inlineStr">
        <is>
          <t>VÄSTRA GÖTALANDS LÄN</t>
        </is>
      </c>
      <c r="G29" t="inlineStr">
        <is>
          <t>ALINGSÅS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Skogshare</t>
        </is>
      </c>
      <c r="W29">
        <f>HYPERLINK("https://klasma.github.io/Logging_1489/artfynd/A 15986-2026 artfynd.xlsx", "A 15986-2026")</f>
        <v/>
      </c>
      <c r="X29">
        <f>HYPERLINK("https://klasma.github.io/Logging_1489/kartor/A 15986-2026 karta.png", "A 15986-2026")</f>
        <v/>
      </c>
      <c r="Y29">
        <f>HYPERLINK("https://klasma.github.io/Logging_1489/kartor_geotiff/A 15986-2026 georefererad karta.tif", "A 15986-2026")</f>
        <v/>
      </c>
      <c r="AA29">
        <f>HYPERLINK("https://klasma.github.io/Logging_1489/klagomål/A 15986-2026 FSC-klagomål.docx", "A 15986-2026")</f>
        <v/>
      </c>
      <c r="AB29">
        <f>HYPERLINK("https://klasma.github.io/Logging_1489/klagomålsmail/A 15986-2026 FSC-klagomål mail.docx", "A 15986-2026")</f>
        <v/>
      </c>
      <c r="AC29">
        <f>HYPERLINK("https://klasma.github.io/Logging_1489/tillsyn/A 15986-2026 tillsynsbegäran.docx", "A 15986-2026")</f>
        <v/>
      </c>
      <c r="AD29">
        <f>HYPERLINK("https://klasma.github.io/Logging_1489/tillsynsmail/A 15986-2026 tillsynsbegäran mail.docx", "A 15986-2026")</f>
        <v/>
      </c>
    </row>
    <row r="30" ht="15" customHeight="1">
      <c r="A30" t="inlineStr">
        <is>
          <t>A 29313-2024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45483</v>
      </c>
      <c r="E30" s="1" t="n">
        <v>46253</v>
      </c>
      <c r="F30" t="inlineStr">
        <is>
          <t>VÄSTRA GÖTALANDS LÄN</t>
        </is>
      </c>
      <c r="G30" t="inlineStr">
        <is>
          <t>ALINGSÅS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Revlummer</t>
        </is>
      </c>
      <c r="W30">
        <f>HYPERLINK("https://klasma.github.io/Logging_1489/artfynd/A 29313-2024 artfynd.xlsx", "A 29313-2024")</f>
        <v/>
      </c>
      <c r="X30">
        <f>HYPERLINK("https://klasma.github.io/Logging_1489/kartor/A 29313-2024 karta.png", "A 29313-2024")</f>
        <v/>
      </c>
      <c r="Y30">
        <f>HYPERLINK("https://klasma.github.io/Logging_1489/kartor_geotiff/A 29313-2024 georefererad karta.tif", "A 29313-2024")</f>
        <v/>
      </c>
      <c r="AA30">
        <f>HYPERLINK("https://klasma.github.io/Logging_1489/klagomål/A 29313-2024 FSC-klagomål.docx", "A 29313-2024")</f>
        <v/>
      </c>
      <c r="AB30">
        <f>HYPERLINK("https://klasma.github.io/Logging_1489/klagomålsmail/A 29313-2024 FSC-klagomål mail.docx", "A 29313-2024")</f>
        <v/>
      </c>
      <c r="AC30">
        <f>HYPERLINK("https://klasma.github.io/Logging_1489/tillsyn/A 29313-2024 tillsynsbegäran.docx", "A 29313-2024")</f>
        <v/>
      </c>
      <c r="AD30">
        <f>HYPERLINK("https://klasma.github.io/Logging_1489/tillsynsmail/A 29313-2024 tillsynsbegäran mail.docx", "A 29313-2024")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46253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37537-2024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45541</v>
      </c>
      <c r="E32" s="1" t="n">
        <v>46253</v>
      </c>
      <c r="F32" t="inlineStr">
        <is>
          <t>VÄSTRA GÖTALANDS LÄN</t>
        </is>
      </c>
      <c r="G32" t="inlineStr">
        <is>
          <t>ALINGSÅS</t>
        </is>
      </c>
      <c r="I32" t="n">
        <v>3.5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37537-2024 artfynd.xlsx", "A 37537-2024")</f>
        <v/>
      </c>
      <c r="X32">
        <f>HYPERLINK("https://klasma.github.io/Logging_1489/kartor/A 37537-2024 karta.png", "A 37537-2024")</f>
        <v/>
      </c>
      <c r="Y32">
        <f>HYPERLINK("https://klasma.github.io/Logging_1489/kartor_geotiff/A 37537-2024 georefererad karta.tif", "A 37537-2024")</f>
        <v/>
      </c>
      <c r="AA32">
        <f>HYPERLINK("https://klasma.github.io/Logging_1489/klagomål/A 37537-2024 FSC-klagomål.docx", "A 37537-2024")</f>
        <v/>
      </c>
      <c r="AB32">
        <f>HYPERLINK("https://klasma.github.io/Logging_1489/klagomålsmail/A 37537-2024 FSC-klagomål mail.docx", "A 37537-2024")</f>
        <v/>
      </c>
      <c r="AC32">
        <f>HYPERLINK("https://klasma.github.io/Logging_1489/tillsyn/A 37537-2024 tillsynsbegäran.docx", "A 37537-2024")</f>
        <v/>
      </c>
      <c r="AD32">
        <f>HYPERLINK("https://klasma.github.io/Logging_1489/tillsynsmail/A 37537-2024 tillsynsbegäran mail.docx", "A 37537-2024")</f>
        <v/>
      </c>
    </row>
    <row r="33" ht="15" customHeight="1">
      <c r="A33" t="inlineStr">
        <is>
          <t>A 5383-2024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46253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Övriga Aktiebolag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6</v>
      </c>
      <c r="U33" t="n">
        <v>0</v>
      </c>
      <c r="V33" s="2" t="inlineStr">
        <is>
          <t>Ask</t>
        </is>
      </c>
      <c r="W33">
        <f>HYPERLINK("https://klasma.github.io/Logging_1489/artfynd/A 5383-2024 artfynd.xlsx", "A 5383-2024")</f>
        <v/>
      </c>
      <c r="X33">
        <f>HYPERLINK("https://klasma.github.io/Logging_1489/kartor/A 5383-2024 karta.png", "A 5383-2024")</f>
        <v/>
      </c>
      <c r="Y33">
        <f>HYPERLINK("https://klasma.github.io/Logging_1489/kartor_geotiff/A 5383-2024 georefererad karta.tif", "A 5383-2024")</f>
        <v/>
      </c>
      <c r="AA33">
        <f>HYPERLINK("https://klasma.github.io/Logging_1489/klagomål/A 5383-2024 FSC-klagomål.docx", "A 5383-2024")</f>
        <v/>
      </c>
      <c r="AB33">
        <f>HYPERLINK("https://klasma.github.io/Logging_1489/klagomålsmail/A 5383-2024 FSC-klagomål mail.docx", "A 5383-2024")</f>
        <v/>
      </c>
      <c r="AC33">
        <f>HYPERLINK("https://klasma.github.io/Logging_1489/tillsyn/A 5383-2024 tillsynsbegäran.docx", "A 5383-2024")</f>
        <v/>
      </c>
      <c r="AD33">
        <f>HYPERLINK("https://klasma.github.io/Logging_1489/tillsynsmail/A 5383-2024 tillsynsbegäran mail.docx", "A 5383-2024")</f>
        <v/>
      </c>
    </row>
    <row r="34" ht="15" customHeight="1">
      <c r="A34" t="inlineStr">
        <is>
          <t>A 59881-2024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45640</v>
      </c>
      <c r="E34" s="1" t="n">
        <v>46253</v>
      </c>
      <c r="F34" t="inlineStr">
        <is>
          <t>VÄSTRA GÖTALANDS LÄN</t>
        </is>
      </c>
      <c r="G34" t="inlineStr">
        <is>
          <t>ALINGSÅS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HYPERLINK("https://klasma.github.io/Logging_1489/artfynd/A 59881-2024 artfynd.xlsx", "A 59881-2024")</f>
        <v/>
      </c>
      <c r="X34">
        <f>HYPERLINK("https://klasma.github.io/Logging_1489/kartor/A 59881-2024 karta.png", "A 59881-2024")</f>
        <v/>
      </c>
      <c r="Y34">
        <f>HYPERLINK("https://klasma.github.io/Logging_1489/kartor_geotiff/A 59881-2024 georefererad karta.tif", "A 59881-2024")</f>
        <v/>
      </c>
      <c r="AA34">
        <f>HYPERLINK("https://klasma.github.io/Logging_1489/klagomål/A 59881-2024 FSC-klagomål.docx", "A 59881-2024")</f>
        <v/>
      </c>
      <c r="AB34">
        <f>HYPERLINK("https://klasma.github.io/Logging_1489/klagomålsmail/A 59881-2024 FSC-klagomål mail.docx", "A 59881-2024")</f>
        <v/>
      </c>
      <c r="AC34">
        <f>HYPERLINK("https://klasma.github.io/Logging_1489/tillsyn/A 59881-2024 tillsynsbegäran.docx", "A 59881-2024")</f>
        <v/>
      </c>
      <c r="AD34">
        <f>HYPERLINK("https://klasma.github.io/Logging_1489/tillsynsmail/A 59881-2024 tillsynsbegäran mail.docx", "A 59881-2024")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46253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42620-2022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46253</v>
      </c>
      <c r="F36" t="inlineStr">
        <is>
          <t>VÄSTRA GÖTALANDS LÄN</t>
        </is>
      </c>
      <c r="G36" t="inlineStr">
        <is>
          <t>ALINGSÅS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10999-2022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44628</v>
      </c>
      <c r="E37" s="1" t="n">
        <v>46253</v>
      </c>
      <c r="F37" t="inlineStr">
        <is>
          <t>VÄSTRA GÖTALANDS LÄN</t>
        </is>
      </c>
      <c r="G37" t="inlineStr">
        <is>
          <t>ALINGSÅS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46253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46253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46253</v>
      </c>
      <c r="F40" t="inlineStr">
        <is>
          <t>VÄSTRA GÖTALANDS LÄN</t>
        </is>
      </c>
      <c r="G40" t="inlineStr">
        <is>
          <t>ALINGSÅS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44637</v>
      </c>
      <c r="E41" s="1" t="n">
        <v>46253</v>
      </c>
      <c r="F41" t="inlineStr">
        <is>
          <t>VÄSTRA GÖTALANDS LÄN</t>
        </is>
      </c>
      <c r="G41" t="inlineStr">
        <is>
          <t>ALINGSÅS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44708</v>
      </c>
      <c r="E42" s="1" t="n">
        <v>46253</v>
      </c>
      <c r="F42" t="inlineStr">
        <is>
          <t>VÄSTRA GÖTALANDS LÄN</t>
        </is>
      </c>
      <c r="G42" t="inlineStr">
        <is>
          <t>ALINGSÅS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46253</v>
      </c>
      <c r="F43" t="inlineStr">
        <is>
          <t>VÄSTRA GÖTALANDS LÄN</t>
        </is>
      </c>
      <c r="G43" t="inlineStr">
        <is>
          <t>ALINGSÅS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65624-2021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44516</v>
      </c>
      <c r="E44" s="1" t="n">
        <v>46253</v>
      </c>
      <c r="F44" t="inlineStr">
        <is>
          <t>VÄSTRA GÖTALANDS LÄN</t>
        </is>
      </c>
      <c r="G44" t="inlineStr">
        <is>
          <t>ALINGSÅS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46253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46253</v>
      </c>
      <c r="F46" t="inlineStr">
        <is>
          <t>VÄSTRA GÖTALANDS LÄN</t>
        </is>
      </c>
      <c r="G46" t="inlineStr">
        <is>
          <t>ALINGSÅS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37512-2022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46253</v>
      </c>
      <c r="F47" t="inlineStr">
        <is>
          <t>VÄSTRA GÖTALANDS LÄN</t>
        </is>
      </c>
      <c r="G47" t="inlineStr">
        <is>
          <t>ALINGSÅS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46253</v>
      </c>
      <c r="F48" t="inlineStr">
        <is>
          <t>VÄSTRA GÖTALANDS LÄN</t>
        </is>
      </c>
      <c r="G48" t="inlineStr">
        <is>
          <t>ALINGSÅS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47187-2021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44447</v>
      </c>
      <c r="E49" s="1" t="n">
        <v>46253</v>
      </c>
      <c r="F49" t="inlineStr">
        <is>
          <t>VÄSTRA GÖTALANDS LÄN</t>
        </is>
      </c>
      <c r="G49" t="inlineStr">
        <is>
          <t>ALINGSÅS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46253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46253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46253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46253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46253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46253</v>
      </c>
      <c r="F55" t="inlineStr">
        <is>
          <t>VÄSTRA GÖTALANDS LÄN</t>
        </is>
      </c>
      <c r="G55" t="inlineStr">
        <is>
          <t>ALINGSÅS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46253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51167-2021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46253</v>
      </c>
      <c r="F57" t="inlineStr">
        <is>
          <t>VÄSTRA GÖTALANDS LÄN</t>
        </is>
      </c>
      <c r="G57" t="inlineStr">
        <is>
          <t>ALINGSÅS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44568</v>
      </c>
      <c r="E58" s="1" t="n">
        <v>46253</v>
      </c>
      <c r="F58" t="inlineStr">
        <is>
          <t>VÄSTRA GÖTALANDS LÄN</t>
        </is>
      </c>
      <c r="G58" t="inlineStr">
        <is>
          <t>ALINGSÅS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46253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46253</v>
      </c>
      <c r="F60" t="inlineStr">
        <is>
          <t>VÄSTRA GÖTALANDS LÄN</t>
        </is>
      </c>
      <c r="G60" t="inlineStr">
        <is>
          <t>ALINGSÅS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46253</v>
      </c>
      <c r="F61" t="inlineStr">
        <is>
          <t>VÄSTRA GÖTALANDS LÄN</t>
        </is>
      </c>
      <c r="G61" t="inlineStr">
        <is>
          <t>ALINGSÅS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44795</v>
      </c>
      <c r="E62" s="1" t="n">
        <v>46253</v>
      </c>
      <c r="F62" t="inlineStr">
        <is>
          <t>VÄSTRA GÖTALANDS LÄN</t>
        </is>
      </c>
      <c r="G62" t="inlineStr">
        <is>
          <t>ALINGSÅS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12884-2022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44642</v>
      </c>
      <c r="E63" s="1" t="n">
        <v>46253</v>
      </c>
      <c r="F63" t="inlineStr">
        <is>
          <t>VÄSTRA GÖTALANDS LÄN</t>
        </is>
      </c>
      <c r="G63" t="inlineStr">
        <is>
          <t>ALINGSÅS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46253</v>
      </c>
      <c r="F64" t="inlineStr">
        <is>
          <t>VÄSTRA GÖTALANDS LÄN</t>
        </is>
      </c>
      <c r="G64" t="inlineStr">
        <is>
          <t>ALINGSÅS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45687</v>
      </c>
      <c r="E65" s="1" t="n">
        <v>46253</v>
      </c>
      <c r="F65" t="inlineStr">
        <is>
          <t>VÄSTRA GÖTALANDS LÄN</t>
        </is>
      </c>
      <c r="G65" t="inlineStr">
        <is>
          <t>ALINGSÅS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46253</v>
      </c>
      <c r="F66" t="inlineStr">
        <is>
          <t>VÄSTRA GÖTALANDS LÄN</t>
        </is>
      </c>
      <c r="G66" t="inlineStr">
        <is>
          <t>ALINGSÅS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46253</v>
      </c>
      <c r="F67" t="inlineStr">
        <is>
          <t>VÄSTRA GÖTALANDS LÄN</t>
        </is>
      </c>
      <c r="G67" t="inlineStr">
        <is>
          <t>ALINGSÅS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51178-2023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46253</v>
      </c>
      <c r="F68" t="inlineStr">
        <is>
          <t>VÄSTRA GÖTALANDS LÄN</t>
        </is>
      </c>
      <c r="G68" t="inlineStr">
        <is>
          <t>ALINGSÅS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46253</v>
      </c>
      <c r="F69" t="inlineStr">
        <is>
          <t>VÄSTRA GÖTALANDS LÄN</t>
        </is>
      </c>
      <c r="G69" t="inlineStr">
        <is>
          <t>ALINGSÅS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46883-2021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44446</v>
      </c>
      <c r="E70" s="1" t="n">
        <v>46253</v>
      </c>
      <c r="F70" t="inlineStr">
        <is>
          <t>VÄSTRA GÖTALANDS LÄN</t>
        </is>
      </c>
      <c r="G70" t="inlineStr">
        <is>
          <t>ALINGSÅS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45399</v>
      </c>
      <c r="E71" s="1" t="n">
        <v>46253</v>
      </c>
      <c r="F71" t="inlineStr">
        <is>
          <t>VÄSTRA GÖTALANDS LÄN</t>
        </is>
      </c>
      <c r="G71" t="inlineStr">
        <is>
          <t>ALINGSÅS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46253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45380</v>
      </c>
      <c r="E73" s="1" t="n">
        <v>46253</v>
      </c>
      <c r="F73" t="inlineStr">
        <is>
          <t>VÄSTRA GÖTALANDS LÄN</t>
        </is>
      </c>
      <c r="G73" t="inlineStr">
        <is>
          <t>ALINGSÅS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46253</v>
      </c>
      <c r="F74" t="inlineStr">
        <is>
          <t>VÄSTRA GÖTALANDS LÄN</t>
        </is>
      </c>
      <c r="G74" t="inlineStr">
        <is>
          <t>ALINGSÅS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46491-2021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44445</v>
      </c>
      <c r="E75" s="1" t="n">
        <v>46253</v>
      </c>
      <c r="F75" t="inlineStr">
        <is>
          <t>VÄSTRA GÖTALANDS LÄN</t>
        </is>
      </c>
      <c r="G75" t="inlineStr">
        <is>
          <t>ALINGSÅS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46253</v>
      </c>
      <c r="F76" t="inlineStr">
        <is>
          <t>VÄSTRA GÖTALANDS LÄN</t>
        </is>
      </c>
      <c r="G76" t="inlineStr">
        <is>
          <t>ALINGSÅS</t>
        </is>
      </c>
      <c r="H76" t="inlineStr">
        <is>
          <t>Kyrkan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46253</v>
      </c>
      <c r="F77" t="inlineStr">
        <is>
          <t>VÄSTRA GÖTALANDS LÄN</t>
        </is>
      </c>
      <c r="G77" t="inlineStr">
        <is>
          <t>ALINGSÅS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44896</v>
      </c>
      <c r="E78" s="1" t="n">
        <v>46253</v>
      </c>
      <c r="F78" t="inlineStr">
        <is>
          <t>VÄSTRA GÖTALANDS LÄN</t>
        </is>
      </c>
      <c r="G78" t="inlineStr">
        <is>
          <t>ALINGSÅS</t>
        </is>
      </c>
      <c r="I78" t="n">
        <v>10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45465</v>
      </c>
      <c r="E79" s="1" t="n">
        <v>46253</v>
      </c>
      <c r="F79" t="inlineStr">
        <is>
          <t>VÄSTRA GÖTALANDS LÄN</t>
        </is>
      </c>
      <c r="G79" t="inlineStr">
        <is>
          <t>ALINGSÅS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46253</v>
      </c>
      <c r="F80" t="inlineStr">
        <is>
          <t>VÄSTRA GÖTALANDS LÄN</t>
        </is>
      </c>
      <c r="G80" t="inlineStr">
        <is>
          <t>ALINGSÅS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46253</v>
      </c>
      <c r="F81" t="inlineStr">
        <is>
          <t>VÄSTRA GÖTALANDS LÄN</t>
        </is>
      </c>
      <c r="G81" t="inlineStr">
        <is>
          <t>ALINGSÅS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46253</v>
      </c>
      <c r="F82" t="inlineStr">
        <is>
          <t>VÄSTRA GÖTALANDS LÄN</t>
        </is>
      </c>
      <c r="G82" t="inlineStr">
        <is>
          <t>ALINGSÅS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46253</v>
      </c>
      <c r="F83" t="inlineStr">
        <is>
          <t>VÄSTRA GÖTALANDS LÄN</t>
        </is>
      </c>
      <c r="G83" t="inlineStr">
        <is>
          <t>ALINGSÅS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46253</v>
      </c>
      <c r="F84" t="inlineStr">
        <is>
          <t>VÄSTRA GÖTALANDS LÄN</t>
        </is>
      </c>
      <c r="G84" t="inlineStr">
        <is>
          <t>ALINGSÅS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46253</v>
      </c>
      <c r="F85" t="inlineStr">
        <is>
          <t>VÄSTRA GÖTALANDS LÄN</t>
        </is>
      </c>
      <c r="G85" t="inlineStr">
        <is>
          <t>ALINGSÅS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36291-2024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46253</v>
      </c>
      <c r="F86" t="inlineStr">
        <is>
          <t>VÄSTRA GÖTALANDS LÄN</t>
        </is>
      </c>
      <c r="G86" t="inlineStr">
        <is>
          <t>ALINGSÅS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45322-2024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45576</v>
      </c>
      <c r="E87" s="1" t="n">
        <v>46253</v>
      </c>
      <c r="F87" t="inlineStr">
        <is>
          <t>VÄSTRA GÖTALANDS LÄN</t>
        </is>
      </c>
      <c r="G87" t="inlineStr">
        <is>
          <t>ALINGSÅS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46253</v>
      </c>
      <c r="F88" t="inlineStr">
        <is>
          <t>VÄSTRA GÖTALANDS LÄN</t>
        </is>
      </c>
      <c r="G88" t="inlineStr">
        <is>
          <t>ALINGSÅS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45804</v>
      </c>
      <c r="E89" s="1" t="n">
        <v>46253</v>
      </c>
      <c r="F89" t="inlineStr">
        <is>
          <t>VÄSTRA GÖTALANDS LÄN</t>
        </is>
      </c>
      <c r="G89" t="inlineStr">
        <is>
          <t>ALINGSÅS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46253</v>
      </c>
      <c r="F90" t="inlineStr">
        <is>
          <t>VÄSTRA GÖTALANDS LÄN</t>
        </is>
      </c>
      <c r="G90" t="inlineStr">
        <is>
          <t>ALINGSÅS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54579-2024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45617</v>
      </c>
      <c r="E91" s="1" t="n">
        <v>46253</v>
      </c>
      <c r="F91" t="inlineStr">
        <is>
          <t>VÄSTRA GÖTALANDS LÄN</t>
        </is>
      </c>
      <c r="G91" t="inlineStr">
        <is>
          <t>ALINGSÅS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12968-2025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45734</v>
      </c>
      <c r="E92" s="1" t="n">
        <v>46253</v>
      </c>
      <c r="F92" t="inlineStr">
        <is>
          <t>VÄSTRA GÖTALANDS LÄN</t>
        </is>
      </c>
      <c r="G92" t="inlineStr">
        <is>
          <t>ALINGSÅS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45378</v>
      </c>
      <c r="E93" s="1" t="n">
        <v>46253</v>
      </c>
      <c r="F93" t="inlineStr">
        <is>
          <t>VÄSTRA GÖTALANDS LÄN</t>
        </is>
      </c>
      <c r="G93" t="inlineStr">
        <is>
          <t>ALINGSÅS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46253</v>
      </c>
      <c r="F94" t="inlineStr">
        <is>
          <t>VÄSTRA GÖTALANDS LÄN</t>
        </is>
      </c>
      <c r="G94" t="inlineStr">
        <is>
          <t>ALINGSÅS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45812</v>
      </c>
      <c r="E95" s="1" t="n">
        <v>46253</v>
      </c>
      <c r="F95" t="inlineStr">
        <is>
          <t>VÄSTRA GÖTALANDS LÄN</t>
        </is>
      </c>
      <c r="G95" t="inlineStr">
        <is>
          <t>ALINGSÅS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45818</v>
      </c>
      <c r="E96" s="1" t="n">
        <v>46253</v>
      </c>
      <c r="F96" t="inlineStr">
        <is>
          <t>VÄSTRA GÖTALANDS LÄN</t>
        </is>
      </c>
      <c r="G96" t="inlineStr">
        <is>
          <t>ALINGSÅS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46253</v>
      </c>
      <c r="F97" t="inlineStr">
        <is>
          <t>VÄSTRA GÖTALANDS LÄN</t>
        </is>
      </c>
      <c r="G97" t="inlineStr">
        <is>
          <t>ALINGSÅS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46253</v>
      </c>
      <c r="F98" t="inlineStr">
        <is>
          <t>VÄSTRA GÖTALANDS LÄN</t>
        </is>
      </c>
      <c r="G98" t="inlineStr">
        <is>
          <t>ALINGSÅS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6120-2023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44964</v>
      </c>
      <c r="E99" s="1" t="n">
        <v>46253</v>
      </c>
      <c r="F99" t="inlineStr">
        <is>
          <t>VÄSTRA GÖTALANDS LÄN</t>
        </is>
      </c>
      <c r="G99" t="inlineStr">
        <is>
          <t>ALINGSÅS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46253</v>
      </c>
      <c r="F100" t="inlineStr">
        <is>
          <t>VÄSTRA GÖTALANDS LÄN</t>
        </is>
      </c>
      <c r="G100" t="inlineStr">
        <is>
          <t>ALINGSÅS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46253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45569</v>
      </c>
      <c r="E102" s="1" t="n">
        <v>46253</v>
      </c>
      <c r="F102" t="inlineStr">
        <is>
          <t>VÄSTRA GÖTALANDS LÄN</t>
        </is>
      </c>
      <c r="G102" t="inlineStr">
        <is>
          <t>ALINGSÅS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46253</v>
      </c>
      <c r="F103" t="inlineStr">
        <is>
          <t>VÄSTRA GÖTALANDS LÄN</t>
        </is>
      </c>
      <c r="G103" t="inlineStr">
        <is>
          <t>ALINGSÅS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43435-2024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45568</v>
      </c>
      <c r="E104" s="1" t="n">
        <v>46253</v>
      </c>
      <c r="F104" t="inlineStr">
        <is>
          <t>VÄSTRA GÖTALANDS LÄN</t>
        </is>
      </c>
      <c r="G104" t="inlineStr">
        <is>
          <t>ALINGSÅS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45721</v>
      </c>
      <c r="E105" s="1" t="n">
        <v>46253</v>
      </c>
      <c r="F105" t="inlineStr">
        <is>
          <t>VÄSTRA GÖTALANDS LÄN</t>
        </is>
      </c>
      <c r="G105" t="inlineStr">
        <is>
          <t>ALINGSÅS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45634</v>
      </c>
      <c r="E106" s="1" t="n">
        <v>46253</v>
      </c>
      <c r="F106" t="inlineStr">
        <is>
          <t>VÄSTRA GÖTALANDS LÄN</t>
        </is>
      </c>
      <c r="G106" t="inlineStr">
        <is>
          <t>ALINGSÅS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46253</v>
      </c>
      <c r="F107" t="inlineStr">
        <is>
          <t>VÄSTRA GÖTALANDS LÄN</t>
        </is>
      </c>
      <c r="G107" t="inlineStr">
        <is>
          <t>ALINGSÅS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45721</v>
      </c>
      <c r="E108" s="1" t="n">
        <v>46253</v>
      </c>
      <c r="F108" t="inlineStr">
        <is>
          <t>VÄSTRA GÖTALANDS LÄN</t>
        </is>
      </c>
      <c r="G108" t="inlineStr">
        <is>
          <t>ALINGSÅS</t>
        </is>
      </c>
      <c r="H108" t="inlineStr">
        <is>
          <t>Kyrkan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46253</v>
      </c>
      <c r="F109" t="inlineStr">
        <is>
          <t>VÄSTRA GÖTALANDS LÄN</t>
        </is>
      </c>
      <c r="G109" t="inlineStr">
        <is>
          <t>ALINGSÅS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46253</v>
      </c>
      <c r="F110" t="inlineStr">
        <is>
          <t>VÄSTRA GÖTALANDS LÄN</t>
        </is>
      </c>
      <c r="G110" t="inlineStr">
        <is>
          <t>ALINGSÅS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21328-2025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45782</v>
      </c>
      <c r="E111" s="1" t="n">
        <v>46253</v>
      </c>
      <c r="F111" t="inlineStr">
        <is>
          <t>VÄSTRA GÖTALANDS LÄN</t>
        </is>
      </c>
      <c r="G111" t="inlineStr">
        <is>
          <t>ALINGSÅS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46253</v>
      </c>
      <c r="F112" t="inlineStr">
        <is>
          <t>VÄSTRA GÖTALANDS LÄN</t>
        </is>
      </c>
      <c r="G112" t="inlineStr">
        <is>
          <t>ALINGSÅS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53628-2023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46253</v>
      </c>
      <c r="F113" t="inlineStr">
        <is>
          <t>VÄSTRA GÖTALANDS LÄN</t>
        </is>
      </c>
      <c r="G113" t="inlineStr">
        <is>
          <t>ALINGSÅS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45726</v>
      </c>
      <c r="E114" s="1" t="n">
        <v>46253</v>
      </c>
      <c r="F114" t="inlineStr">
        <is>
          <t>VÄSTRA GÖTALANDS LÄN</t>
        </is>
      </c>
      <c r="G114" t="inlineStr">
        <is>
          <t>ALINGSÅS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12318-2022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46253</v>
      </c>
      <c r="F115" t="inlineStr">
        <is>
          <t>VÄSTRA GÖTALANDS LÄN</t>
        </is>
      </c>
      <c r="G115" t="inlineStr">
        <is>
          <t>ALINGSÅS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40242-2025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45894</v>
      </c>
      <c r="E116" s="1" t="n">
        <v>46253</v>
      </c>
      <c r="F116" t="inlineStr">
        <is>
          <t>VÄSTRA GÖTALANDS LÄN</t>
        </is>
      </c>
      <c r="G116" t="inlineStr">
        <is>
          <t>ALINGSÅS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45894</v>
      </c>
      <c r="E117" s="1" t="n">
        <v>46253</v>
      </c>
      <c r="F117" t="inlineStr">
        <is>
          <t>VÄSTRA GÖTALANDS LÄN</t>
        </is>
      </c>
      <c r="G117" t="inlineStr">
        <is>
          <t>ALINGSÅS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41454-2025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46253</v>
      </c>
      <c r="F118" t="inlineStr">
        <is>
          <t>VÄSTRA GÖTALANDS LÄN</t>
        </is>
      </c>
      <c r="G118" t="inlineStr">
        <is>
          <t>ALINGSÅS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41452-2025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46253</v>
      </c>
      <c r="F119" t="inlineStr">
        <is>
          <t>VÄSTRA GÖTALANDS LÄN</t>
        </is>
      </c>
      <c r="G119" t="inlineStr">
        <is>
          <t>ALINGSÅS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46070</v>
      </c>
      <c r="E120" s="1" t="n">
        <v>46253</v>
      </c>
      <c r="F120" t="inlineStr">
        <is>
          <t>VÄSTRA GÖTALANDS LÄN</t>
        </is>
      </c>
      <c r="G120" t="inlineStr">
        <is>
          <t>ALINGSÅS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46253</v>
      </c>
      <c r="F121" t="inlineStr">
        <is>
          <t>VÄSTRA GÖTALANDS LÄN</t>
        </is>
      </c>
      <c r="G121" t="inlineStr">
        <is>
          <t>ALINGSÅS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42711-2025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45908</v>
      </c>
      <c r="E122" s="1" t="n">
        <v>46253</v>
      </c>
      <c r="F122" t="inlineStr">
        <is>
          <t>VÄSTRA GÖTALANDS LÄN</t>
        </is>
      </c>
      <c r="G122" t="inlineStr">
        <is>
          <t>ALINGSÅS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46253</v>
      </c>
      <c r="F123" t="inlineStr">
        <is>
          <t>VÄSTRA GÖTALANDS LÄN</t>
        </is>
      </c>
      <c r="G123" t="inlineStr">
        <is>
          <t>ALINGSÅS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42490-2025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46253</v>
      </c>
      <c r="F124" t="inlineStr">
        <is>
          <t>VÄSTRA GÖTALANDS LÄN</t>
        </is>
      </c>
      <c r="G124" t="inlineStr">
        <is>
          <t>ALINGSÅS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46253</v>
      </c>
      <c r="F125" t="inlineStr">
        <is>
          <t>VÄSTRA GÖTALANDS LÄN</t>
        </is>
      </c>
      <c r="G125" t="inlineStr">
        <is>
          <t>ALINGSÅS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15019-2023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45015</v>
      </c>
      <c r="E126" s="1" t="n">
        <v>46253</v>
      </c>
      <c r="F126" t="inlineStr">
        <is>
          <t>VÄSTRA GÖTALANDS LÄN</t>
        </is>
      </c>
      <c r="G126" t="inlineStr">
        <is>
          <t>ALINGSÅS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63143-2021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46253</v>
      </c>
      <c r="F127" t="inlineStr">
        <is>
          <t>VÄSTRA GÖTALANDS LÄN</t>
        </is>
      </c>
      <c r="G127" t="inlineStr">
        <is>
          <t>ALINGSÅS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46253</v>
      </c>
      <c r="F128" t="inlineStr">
        <is>
          <t>VÄSTRA GÖTALANDS LÄN</t>
        </is>
      </c>
      <c r="G128" t="inlineStr">
        <is>
          <t>ALINGSÅS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11024-2023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44991</v>
      </c>
      <c r="E129" s="1" t="n">
        <v>46253</v>
      </c>
      <c r="F129" t="inlineStr">
        <is>
          <t>VÄSTRA GÖTALANDS LÄN</t>
        </is>
      </c>
      <c r="G129" t="inlineStr">
        <is>
          <t>ALINGSÅS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12039-2026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46253</v>
      </c>
      <c r="F130" t="inlineStr">
        <is>
          <t>VÄSTRA GÖTALANDS LÄN</t>
        </is>
      </c>
      <c r="G130" t="inlineStr">
        <is>
          <t>ALINGSÅS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12168-2026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46086</v>
      </c>
      <c r="E131" s="1" t="n">
        <v>46253</v>
      </c>
      <c r="F131" t="inlineStr">
        <is>
          <t>VÄSTRA GÖTALANDS LÄN</t>
        </is>
      </c>
      <c r="G131" t="inlineStr">
        <is>
          <t>ALINGSÅS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46253</v>
      </c>
      <c r="F132" t="inlineStr">
        <is>
          <t>VÄSTRA GÖTALANDS LÄN</t>
        </is>
      </c>
      <c r="G132" t="inlineStr">
        <is>
          <t>ALINGSÅS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14313-2023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45011</v>
      </c>
      <c r="E133" s="1" t="n">
        <v>46253</v>
      </c>
      <c r="F133" t="inlineStr">
        <is>
          <t>VÄSTRA GÖTALANDS LÄN</t>
        </is>
      </c>
      <c r="G133" t="inlineStr">
        <is>
          <t>ALINGSÅS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23559-2022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44721</v>
      </c>
      <c r="E134" s="1" t="n">
        <v>46253</v>
      </c>
      <c r="F134" t="inlineStr">
        <is>
          <t>VÄSTRA GÖTALANDS LÄN</t>
        </is>
      </c>
      <c r="G134" t="inlineStr">
        <is>
          <t>ALINGSÅS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44964</v>
      </c>
      <c r="E135" s="1" t="n">
        <v>46253</v>
      </c>
      <c r="F135" t="inlineStr">
        <is>
          <t>VÄSTRA GÖTALANDS LÄN</t>
        </is>
      </c>
      <c r="G135" t="inlineStr">
        <is>
          <t>ALINGSÅS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46253</v>
      </c>
      <c r="F136" t="inlineStr">
        <is>
          <t>VÄSTRA GÖTALANDS LÄN</t>
        </is>
      </c>
      <c r="G136" t="inlineStr">
        <is>
          <t>ALINGSÅS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32286-2024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45512</v>
      </c>
      <c r="E137" s="1" t="n">
        <v>46253</v>
      </c>
      <c r="F137" t="inlineStr">
        <is>
          <t>VÄSTRA GÖTALANDS LÄN</t>
        </is>
      </c>
      <c r="G137" t="inlineStr">
        <is>
          <t>ALINGSÅS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47143-2025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46253</v>
      </c>
      <c r="F138" t="inlineStr">
        <is>
          <t>VÄSTRA GÖTALANDS LÄN</t>
        </is>
      </c>
      <c r="G138" t="inlineStr">
        <is>
          <t>ALINGSÅS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44727</v>
      </c>
      <c r="E139" s="1" t="n">
        <v>46253</v>
      </c>
      <c r="F139" t="inlineStr">
        <is>
          <t>VÄSTRA GÖTALANDS LÄN</t>
        </is>
      </c>
      <c r="G139" t="inlineStr">
        <is>
          <t>ALINGSÅS</t>
        </is>
      </c>
      <c r="I139" t="n">
        <v>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45015</v>
      </c>
      <c r="E140" s="1" t="n">
        <v>46253</v>
      </c>
      <c r="F140" t="inlineStr">
        <is>
          <t>VÄSTRA GÖTALANDS LÄN</t>
        </is>
      </c>
      <c r="G140" t="inlineStr">
        <is>
          <t>ALINGSÅS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19553-2024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45429</v>
      </c>
      <c r="E141" s="1" t="n">
        <v>46253</v>
      </c>
      <c r="F141" t="inlineStr">
        <is>
          <t>VÄSTRA GÖTALANDS LÄN</t>
        </is>
      </c>
      <c r="G141" t="inlineStr">
        <is>
          <t>ALINGSÅS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46253</v>
      </c>
      <c r="F142" t="inlineStr">
        <is>
          <t>VÄSTRA GÖTALANDS LÄN</t>
        </is>
      </c>
      <c r="G142" t="inlineStr">
        <is>
          <t>ALINGSÅS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45706</v>
      </c>
      <c r="E143" s="1" t="n">
        <v>46253</v>
      </c>
      <c r="F143" t="inlineStr">
        <is>
          <t>VÄSTRA GÖTALANDS LÄN</t>
        </is>
      </c>
      <c r="G143" t="inlineStr">
        <is>
          <t>ALINGSÅS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21727-2022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44708</v>
      </c>
      <c r="E144" s="1" t="n">
        <v>46253</v>
      </c>
      <c r="F144" t="inlineStr">
        <is>
          <t>VÄSTRA GÖTALANDS LÄN</t>
        </is>
      </c>
      <c r="G144" t="inlineStr">
        <is>
          <t>ALINGSÅS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45660</v>
      </c>
      <c r="E145" s="1" t="n">
        <v>46253</v>
      </c>
      <c r="F145" t="inlineStr">
        <is>
          <t>VÄSTRA GÖTALANDS LÄN</t>
        </is>
      </c>
      <c r="G145" t="inlineStr">
        <is>
          <t>ALINGSÅS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64070-2023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45279</v>
      </c>
      <c r="E146" s="1" t="n">
        <v>46253</v>
      </c>
      <c r="F146" t="inlineStr">
        <is>
          <t>VÄSTRA GÖTALANDS LÄN</t>
        </is>
      </c>
      <c r="G146" t="inlineStr">
        <is>
          <t>ALINGSÅS</t>
        </is>
      </c>
      <c r="H146" t="inlineStr">
        <is>
          <t>Kommuner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45850</v>
      </c>
      <c r="E147" s="1" t="n">
        <v>46253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45253</v>
      </c>
      <c r="E148" s="1" t="n">
        <v>46253</v>
      </c>
      <c r="F148" t="inlineStr">
        <is>
          <t>VÄSTRA GÖTALANDS LÄN</t>
        </is>
      </c>
      <c r="G148" t="inlineStr">
        <is>
          <t>ALINGSÅS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15847-2026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46107</v>
      </c>
      <c r="E149" s="1" t="n">
        <v>46253</v>
      </c>
      <c r="F149" t="inlineStr">
        <is>
          <t>VÄSTRA GÖTALANDS LÄN</t>
        </is>
      </c>
      <c r="G149" t="inlineStr">
        <is>
          <t>ALINGSÅS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15846-2026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46253</v>
      </c>
      <c r="F150" t="inlineStr">
        <is>
          <t>VÄSTRA GÖTALANDS LÄN</t>
        </is>
      </c>
      <c r="G150" t="inlineStr">
        <is>
          <t>ALINGSÅS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46253</v>
      </c>
      <c r="F151" t="inlineStr">
        <is>
          <t>VÄSTRA GÖTALANDS LÄN</t>
        </is>
      </c>
      <c r="G151" t="inlineStr">
        <is>
          <t>ALINGSÅS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64194-2023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45279</v>
      </c>
      <c r="E152" s="1" t="n">
        <v>46253</v>
      </c>
      <c r="F152" t="inlineStr">
        <is>
          <t>VÄSTRA GÖTALANDS LÄN</t>
        </is>
      </c>
      <c r="G152" t="inlineStr">
        <is>
          <t>ALINGSÅS</t>
        </is>
      </c>
      <c r="H152" t="inlineStr">
        <is>
          <t>Kommuner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44672</v>
      </c>
      <c r="E153" s="1" t="n">
        <v>46253</v>
      </c>
      <c r="F153" t="inlineStr">
        <is>
          <t>VÄSTRA GÖTALANDS LÄN</t>
        </is>
      </c>
      <c r="G153" t="inlineStr">
        <is>
          <t>ALINGSÅS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16612-2022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44672</v>
      </c>
      <c r="E154" s="1" t="n">
        <v>46253</v>
      </c>
      <c r="F154" t="inlineStr">
        <is>
          <t>VÄSTRA GÖTALANDS LÄN</t>
        </is>
      </c>
      <c r="G154" t="inlineStr">
        <is>
          <t>ALINGSÅS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46253</v>
      </c>
      <c r="F155" t="inlineStr">
        <is>
          <t>VÄSTRA GÖTALANDS LÄN</t>
        </is>
      </c>
      <c r="G155" t="inlineStr">
        <is>
          <t>ALINGSÅS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46253</v>
      </c>
      <c r="F156" t="inlineStr">
        <is>
          <t>VÄSTRA GÖTALANDS LÄN</t>
        </is>
      </c>
      <c r="G156" t="inlineStr">
        <is>
          <t>ALINGSÅS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45850</v>
      </c>
      <c r="E157" s="1" t="n">
        <v>46253</v>
      </c>
      <c r="F157" t="inlineStr">
        <is>
          <t>VÄSTRA GÖTALANDS LÄN</t>
        </is>
      </c>
      <c r="G157" t="inlineStr">
        <is>
          <t>ALINGSÅS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46253</v>
      </c>
      <c r="F158" t="inlineStr">
        <is>
          <t>VÄSTRA GÖTALANDS LÄN</t>
        </is>
      </c>
      <c r="G158" t="inlineStr">
        <is>
          <t>ALINGSÅS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46108</v>
      </c>
      <c r="E159" s="1" t="n">
        <v>46253</v>
      </c>
      <c r="F159" t="inlineStr">
        <is>
          <t>VÄSTRA GÖTALANDS LÄN</t>
        </is>
      </c>
      <c r="G159" t="inlineStr">
        <is>
          <t>ALINGSÅS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45722</v>
      </c>
      <c r="E160" s="1" t="n">
        <v>46253</v>
      </c>
      <c r="F160" t="inlineStr">
        <is>
          <t>VÄSTRA GÖTALANDS LÄN</t>
        </is>
      </c>
      <c r="G160" t="inlineStr">
        <is>
          <t>ALINGSÅS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46108</v>
      </c>
      <c r="E161" s="1" t="n">
        <v>46253</v>
      </c>
      <c r="F161" t="inlineStr">
        <is>
          <t>VÄSTRA GÖTALANDS LÄN</t>
        </is>
      </c>
      <c r="G161" t="inlineStr">
        <is>
          <t>ALINGSÅS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15798-2023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45021</v>
      </c>
      <c r="E162" s="1" t="n">
        <v>46253</v>
      </c>
      <c r="F162" t="inlineStr">
        <is>
          <t>VÄSTRA GÖTALANDS LÄN</t>
        </is>
      </c>
      <c r="G162" t="inlineStr">
        <is>
          <t>ALINGSÅS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15988-2026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46253</v>
      </c>
      <c r="F163" t="inlineStr">
        <is>
          <t>VÄSTRA GÖTALANDS LÄN</t>
        </is>
      </c>
      <c r="G163" t="inlineStr">
        <is>
          <t>ALINGSÅS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46253</v>
      </c>
      <c r="F164" t="inlineStr">
        <is>
          <t>VÄSTRA GÖTALANDS LÄN</t>
        </is>
      </c>
      <c r="G164" t="inlineStr">
        <is>
          <t>ALINGSÅS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46253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46253</v>
      </c>
      <c r="F166" t="inlineStr">
        <is>
          <t>VÄSTRA GÖTALANDS LÄN</t>
        </is>
      </c>
      <c r="G166" t="inlineStr">
        <is>
          <t>ALINGSÅS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46121</v>
      </c>
      <c r="E167" s="1" t="n">
        <v>46253</v>
      </c>
      <c r="F167" t="inlineStr">
        <is>
          <t>VÄSTRA GÖTALANDS LÄN</t>
        </is>
      </c>
      <c r="G167" t="inlineStr">
        <is>
          <t>ALINGSÅS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46122</v>
      </c>
      <c r="E168" s="1" t="n">
        <v>46253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46127</v>
      </c>
      <c r="E169" s="1" t="n">
        <v>46253</v>
      </c>
      <c r="F169" t="inlineStr">
        <is>
          <t>VÄSTRA GÖTALANDS LÄN</t>
        </is>
      </c>
      <c r="G169" t="inlineStr">
        <is>
          <t>ALINGSÅS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18360-2026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46126</v>
      </c>
      <c r="E170" s="1" t="n">
        <v>46253</v>
      </c>
      <c r="F170" t="inlineStr">
        <is>
          <t>VÄSTRA GÖTALANDS LÄN</t>
        </is>
      </c>
      <c r="G170" t="inlineStr">
        <is>
          <t>ALINGSÅS</t>
        </is>
      </c>
      <c r="H170" t="inlineStr">
        <is>
          <t>Kommuner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45757</v>
      </c>
      <c r="E171" s="1" t="n">
        <v>46253</v>
      </c>
      <c r="F171" t="inlineStr">
        <is>
          <t>VÄSTRA GÖTALANDS LÄN</t>
        </is>
      </c>
      <c r="G171" t="inlineStr">
        <is>
          <t>ALINGSÅS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45177</v>
      </c>
      <c r="E172" s="1" t="n">
        <v>46253</v>
      </c>
      <c r="F172" t="inlineStr">
        <is>
          <t>VÄSTRA GÖTALANDS LÄN</t>
        </is>
      </c>
      <c r="G172" t="inlineStr">
        <is>
          <t>ALINGSÅS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46129</v>
      </c>
      <c r="E173" s="1" t="n">
        <v>46253</v>
      </c>
      <c r="F173" t="inlineStr">
        <is>
          <t>VÄSTRA GÖTALANDS LÄN</t>
        </is>
      </c>
      <c r="G173" t="inlineStr">
        <is>
          <t>ALINGSÅS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46253</v>
      </c>
      <c r="F174" t="inlineStr">
        <is>
          <t>VÄSTRA GÖTALANDS LÄN</t>
        </is>
      </c>
      <c r="G174" t="inlineStr">
        <is>
          <t>ALINGSÅS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46253</v>
      </c>
      <c r="F175" t="inlineStr">
        <is>
          <t>VÄSTRA GÖTALANDS LÄN</t>
        </is>
      </c>
      <c r="G175" t="inlineStr">
        <is>
          <t>ALINGSÅS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46253</v>
      </c>
      <c r="F176" t="inlineStr">
        <is>
          <t>VÄSTRA GÖTALANDS LÄN</t>
        </is>
      </c>
      <c r="G176" t="inlineStr">
        <is>
          <t>ALINGSÅS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46131</v>
      </c>
      <c r="E177" s="1" t="n">
        <v>46253</v>
      </c>
      <c r="F177" t="inlineStr">
        <is>
          <t>VÄSTRA GÖTALANDS LÄN</t>
        </is>
      </c>
      <c r="G177" t="inlineStr">
        <is>
          <t>ALINGSÅS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45465</v>
      </c>
      <c r="E178" s="1" t="n">
        <v>46253</v>
      </c>
      <c r="F178" t="inlineStr">
        <is>
          <t>VÄSTRA GÖTALANDS LÄN</t>
        </is>
      </c>
      <c r="G178" t="inlineStr">
        <is>
          <t>ALINGSÅS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45964</v>
      </c>
      <c r="E179" s="1" t="n">
        <v>46253</v>
      </c>
      <c r="F179" t="inlineStr">
        <is>
          <t>VÄSTRA GÖTALANDS LÄN</t>
        </is>
      </c>
      <c r="G179" t="inlineStr">
        <is>
          <t>ALINGSÅS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46253</v>
      </c>
      <c r="F180" t="inlineStr">
        <is>
          <t>VÄSTRA GÖTALANDS LÄN</t>
        </is>
      </c>
      <c r="G180" t="inlineStr">
        <is>
          <t>ALINGSÅS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54073-2025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45964</v>
      </c>
      <c r="E181" s="1" t="n">
        <v>46253</v>
      </c>
      <c r="F181" t="inlineStr">
        <is>
          <t>VÄSTRA GÖTALANDS LÄN</t>
        </is>
      </c>
      <c r="G181" t="inlineStr">
        <is>
          <t>ALINGSÅS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54644-2025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45966</v>
      </c>
      <c r="E182" s="1" t="n">
        <v>46253</v>
      </c>
      <c r="F182" t="inlineStr">
        <is>
          <t>VÄSTRA GÖTALANDS LÄN</t>
        </is>
      </c>
      <c r="G182" t="inlineStr">
        <is>
          <t>ALINGSÅS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54643-2025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46253</v>
      </c>
      <c r="F183" t="inlineStr">
        <is>
          <t>VÄSTRA GÖTALANDS LÄN</t>
        </is>
      </c>
      <c r="G183" t="inlineStr">
        <is>
          <t>ALINGSÅS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44977</v>
      </c>
      <c r="E184" s="1" t="n">
        <v>46253</v>
      </c>
      <c r="F184" t="inlineStr">
        <is>
          <t>VÄSTRA GÖTALANDS LÄN</t>
        </is>
      </c>
      <c r="G184" t="inlineStr">
        <is>
          <t>ALINGSÅS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46253</v>
      </c>
      <c r="F185" t="inlineStr">
        <is>
          <t>VÄSTRA GÖTALANDS LÄN</t>
        </is>
      </c>
      <c r="G185" t="inlineStr">
        <is>
          <t>ALINGSÅS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45972</v>
      </c>
      <c r="E186" s="1" t="n">
        <v>46253</v>
      </c>
      <c r="F186" t="inlineStr">
        <is>
          <t>VÄSTRA GÖTALANDS LÄN</t>
        </is>
      </c>
      <c r="G186" t="inlineStr">
        <is>
          <t>ALINGSÅS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55294-2025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45969</v>
      </c>
      <c r="E187" s="1" t="n">
        <v>46253</v>
      </c>
      <c r="F187" t="inlineStr">
        <is>
          <t>VÄSTRA GÖTALANDS LÄN</t>
        </is>
      </c>
      <c r="G187" t="inlineStr">
        <is>
          <t>ALINGSÅS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46253</v>
      </c>
      <c r="F188" t="inlineStr">
        <is>
          <t>VÄSTRA GÖTALANDS LÄN</t>
        </is>
      </c>
      <c r="G188" t="inlineStr">
        <is>
          <t>ALINGSÅS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45391</v>
      </c>
      <c r="E189" s="1" t="n">
        <v>46253</v>
      </c>
      <c r="F189" t="inlineStr">
        <is>
          <t>VÄSTRA GÖTALANDS LÄN</t>
        </is>
      </c>
      <c r="G189" t="inlineStr">
        <is>
          <t>ALINGSÅS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45681</v>
      </c>
      <c r="E190" s="1" t="n">
        <v>46253</v>
      </c>
      <c r="F190" t="inlineStr">
        <is>
          <t>VÄSTRA GÖTALANDS LÄN</t>
        </is>
      </c>
      <c r="G190" t="inlineStr">
        <is>
          <t>ALINGSÅS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46253</v>
      </c>
      <c r="F191" t="inlineStr">
        <is>
          <t>VÄSTRA GÖTALANDS LÄN</t>
        </is>
      </c>
      <c r="G191" t="inlineStr">
        <is>
          <t>ALINGSÅS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56116-2025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45973</v>
      </c>
      <c r="E192" s="1" t="n">
        <v>46253</v>
      </c>
      <c r="F192" t="inlineStr">
        <is>
          <t>VÄSTRA GÖTALANDS LÄN</t>
        </is>
      </c>
      <c r="G192" t="inlineStr">
        <is>
          <t>ALINGSÅS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56118-2025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46253</v>
      </c>
      <c r="F193" t="inlineStr">
        <is>
          <t>VÄSTRA GÖTALANDS LÄN</t>
        </is>
      </c>
      <c r="G193" t="inlineStr">
        <is>
          <t>ALINGSÅS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46253</v>
      </c>
      <c r="F194" t="inlineStr">
        <is>
          <t>VÄSTRA GÖTALANDS LÄN</t>
        </is>
      </c>
      <c r="G194" t="inlineStr">
        <is>
          <t>ALINGSÅS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45156</v>
      </c>
      <c r="E195" s="1" t="n">
        <v>46253</v>
      </c>
      <c r="F195" t="inlineStr">
        <is>
          <t>VÄSTRA GÖTALANDS LÄN</t>
        </is>
      </c>
      <c r="G195" t="inlineStr">
        <is>
          <t>ALINGSÅS</t>
        </is>
      </c>
      <c r="H195" t="inlineStr">
        <is>
          <t>Kyrkan</t>
        </is>
      </c>
      <c r="I195" t="n">
        <v>9.199999999999999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45111</v>
      </c>
      <c r="E196" s="1" t="n">
        <v>46253</v>
      </c>
      <c r="F196" t="inlineStr">
        <is>
          <t>VÄSTRA GÖTALANDS LÄN</t>
        </is>
      </c>
      <c r="G196" t="inlineStr">
        <is>
          <t>ALINGSÅS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44949</v>
      </c>
      <c r="E197" s="1" t="n">
        <v>46253</v>
      </c>
      <c r="F197" t="inlineStr">
        <is>
          <t>VÄSTRA GÖTALANDS LÄN</t>
        </is>
      </c>
      <c r="G197" t="inlineStr">
        <is>
          <t>ALINGSÅS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44949</v>
      </c>
      <c r="E198" s="1" t="n">
        <v>46253</v>
      </c>
      <c r="F198" t="inlineStr">
        <is>
          <t>VÄSTRA GÖTALANDS LÄN</t>
        </is>
      </c>
      <c r="G198" t="inlineStr">
        <is>
          <t>ALINGSÅS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45772</v>
      </c>
      <c r="E199" s="1" t="n">
        <v>46253</v>
      </c>
      <c r="F199" t="inlineStr">
        <is>
          <t>VÄSTRA GÖTALANDS LÄN</t>
        </is>
      </c>
      <c r="G199" t="inlineStr">
        <is>
          <t>ALINGSÅS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46253</v>
      </c>
      <c r="F200" t="inlineStr">
        <is>
          <t>VÄSTRA GÖTALANDS LÄN</t>
        </is>
      </c>
      <c r="G200" t="inlineStr">
        <is>
          <t>ALINGSÅS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46253</v>
      </c>
      <c r="F201" t="inlineStr">
        <is>
          <t>VÄSTRA GÖTALANDS LÄN</t>
        </is>
      </c>
      <c r="G201" t="inlineStr">
        <is>
          <t>ALINGSÅS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46253</v>
      </c>
      <c r="F202" t="inlineStr">
        <is>
          <t>VÄSTRA GÖTALANDS LÄN</t>
        </is>
      </c>
      <c r="G202" t="inlineStr">
        <is>
          <t>ALINGSÅS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22186-2025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45785</v>
      </c>
      <c r="E203" s="1" t="n">
        <v>46253</v>
      </c>
      <c r="F203" t="inlineStr">
        <is>
          <t>VÄSTRA GÖTALANDS LÄN</t>
        </is>
      </c>
      <c r="G203" t="inlineStr">
        <is>
          <t>ALINGSÅS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46253</v>
      </c>
      <c r="F204" t="inlineStr">
        <is>
          <t>VÄSTRA GÖTALANDS LÄN</t>
        </is>
      </c>
      <c r="G204" t="inlineStr">
        <is>
          <t>ALINGSÅS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45989</v>
      </c>
      <c r="E205" s="1" t="n">
        <v>46253</v>
      </c>
      <c r="F205" t="inlineStr">
        <is>
          <t>VÄSTRA GÖTALANDS LÄN</t>
        </is>
      </c>
      <c r="G205" t="inlineStr">
        <is>
          <t>ALINGSÅS</t>
        </is>
      </c>
      <c r="H205" t="inlineStr">
        <is>
          <t>Kyrkan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59397-2025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45989</v>
      </c>
      <c r="E206" s="1" t="n">
        <v>46253</v>
      </c>
      <c r="F206" t="inlineStr">
        <is>
          <t>VÄSTRA GÖTALANDS LÄN</t>
        </is>
      </c>
      <c r="G206" t="inlineStr">
        <is>
          <t>ALINGSÅS</t>
        </is>
      </c>
      <c r="H206" t="inlineStr">
        <is>
          <t>Kyrkan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45996</v>
      </c>
      <c r="E207" s="1" t="n">
        <v>46253</v>
      </c>
      <c r="F207" t="inlineStr">
        <is>
          <t>VÄSTRA GÖTALANDS LÄN</t>
        </is>
      </c>
      <c r="G207" t="inlineStr">
        <is>
          <t>ALINGSÅS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45335</v>
      </c>
      <c r="E208" s="1" t="n">
        <v>46253</v>
      </c>
      <c r="F208" t="inlineStr">
        <is>
          <t>VÄSTRA GÖTALANDS LÄN</t>
        </is>
      </c>
      <c r="G208" t="inlineStr">
        <is>
          <t>ALINGSÅS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45335</v>
      </c>
      <c r="E209" s="1" t="n">
        <v>46253</v>
      </c>
      <c r="F209" t="inlineStr">
        <is>
          <t>VÄSTRA GÖTALANDS LÄN</t>
        </is>
      </c>
      <c r="G209" t="inlineStr">
        <is>
          <t>ALINGSÅS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46253</v>
      </c>
      <c r="F210" t="inlineStr">
        <is>
          <t>VÄSTRA GÖTALANDS LÄN</t>
        </is>
      </c>
      <c r="G210" t="inlineStr">
        <is>
          <t>ALINGSÅS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48082-2024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45589</v>
      </c>
      <c r="E211" s="1" t="n">
        <v>46253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46253</v>
      </c>
      <c r="F212" t="inlineStr">
        <is>
          <t>VÄSTRA GÖTALANDS LÄN</t>
        </is>
      </c>
      <c r="G212" t="inlineStr">
        <is>
          <t>ALINGSÅS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45133</v>
      </c>
      <c r="E213" s="1" t="n">
        <v>46253</v>
      </c>
      <c r="F213" t="inlineStr">
        <is>
          <t>VÄSTRA GÖTALANDS LÄN</t>
        </is>
      </c>
      <c r="G213" t="inlineStr">
        <is>
          <t>ALINGSÅS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62818-2025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46008</v>
      </c>
      <c r="E214" s="1" t="n">
        <v>46253</v>
      </c>
      <c r="F214" t="inlineStr">
        <is>
          <t>VÄSTRA GÖTALANDS LÄN</t>
        </is>
      </c>
      <c r="G214" t="inlineStr">
        <is>
          <t>ALINGSÅS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58558-2021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44488</v>
      </c>
      <c r="E215" s="1" t="n">
        <v>46253</v>
      </c>
      <c r="F215" t="inlineStr">
        <is>
          <t>VÄSTRA GÖTALANDS LÄN</t>
        </is>
      </c>
      <c r="G215" t="inlineStr">
        <is>
          <t>ALINGSÅS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11539-2022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44631</v>
      </c>
      <c r="E216" s="1" t="n">
        <v>46253</v>
      </c>
      <c r="F216" t="inlineStr">
        <is>
          <t>VÄSTRA GÖTALANDS LÄN</t>
        </is>
      </c>
      <c r="G216" t="inlineStr">
        <is>
          <t>ALINGSÅS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46253</v>
      </c>
      <c r="F217" t="inlineStr">
        <is>
          <t>VÄSTRA GÖTALANDS LÄN</t>
        </is>
      </c>
      <c r="G217" t="inlineStr">
        <is>
          <t>ALINGSÅS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63717-2025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46014</v>
      </c>
      <c r="E218" s="1" t="n">
        <v>46253</v>
      </c>
      <c r="F218" t="inlineStr">
        <is>
          <t>VÄSTRA GÖTALANDS LÄN</t>
        </is>
      </c>
      <c r="G218" t="inlineStr">
        <is>
          <t>ALINGSÅS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45708</v>
      </c>
      <c r="E219" s="1" t="n">
        <v>46253</v>
      </c>
      <c r="F219" t="inlineStr">
        <is>
          <t>VÄSTRA GÖTALANDS LÄN</t>
        </is>
      </c>
      <c r="G219" t="inlineStr">
        <is>
          <t>ALINGSÅS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45708</v>
      </c>
      <c r="E220" s="1" t="n">
        <v>46253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46253</v>
      </c>
      <c r="F221" t="inlineStr">
        <is>
          <t>VÄSTRA GÖTALANDS LÄN</t>
        </is>
      </c>
      <c r="G221" t="inlineStr">
        <is>
          <t>ALINGSÅS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51169-2021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44461</v>
      </c>
      <c r="E222" s="1" t="n">
        <v>46253</v>
      </c>
      <c r="F222" t="inlineStr">
        <is>
          <t>VÄSTRA GÖTALANDS LÄN</t>
        </is>
      </c>
      <c r="G222" t="inlineStr">
        <is>
          <t>ALINGSÅS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46253</v>
      </c>
      <c r="F223" t="inlineStr">
        <is>
          <t>VÄSTRA GÖTALANDS LÄN</t>
        </is>
      </c>
      <c r="G223" t="inlineStr">
        <is>
          <t>ALINGSÅS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59303-2024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45637</v>
      </c>
      <c r="E224" s="1" t="n">
        <v>46253</v>
      </c>
      <c r="F224" t="inlineStr">
        <is>
          <t>VÄSTRA GÖTALANDS LÄN</t>
        </is>
      </c>
      <c r="G224" t="inlineStr">
        <is>
          <t>ALINGSÅS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46253</v>
      </c>
      <c r="F225" t="inlineStr">
        <is>
          <t>VÄSTRA GÖTALANDS LÄN</t>
        </is>
      </c>
      <c r="G225" t="inlineStr">
        <is>
          <t>ALINGSÅS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45323-2024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46253</v>
      </c>
      <c r="F226" t="inlineStr">
        <is>
          <t>VÄSTRA GÖTALANDS LÄN</t>
        </is>
      </c>
      <c r="G226" t="inlineStr">
        <is>
          <t>ALINGSÅS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45075</v>
      </c>
      <c r="E227" s="1" t="n">
        <v>46253</v>
      </c>
      <c r="F227" t="inlineStr">
        <is>
          <t>VÄSTRA GÖTALANDS LÄN</t>
        </is>
      </c>
      <c r="G227" t="inlineStr">
        <is>
          <t>ALINGSÅS</t>
        </is>
      </c>
      <c r="I227" t="n">
        <v>13.1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44596</v>
      </c>
      <c r="E228" s="1" t="n">
        <v>46253</v>
      </c>
      <c r="F228" t="inlineStr">
        <is>
          <t>VÄSTRA GÖTALANDS LÄN</t>
        </is>
      </c>
      <c r="G228" t="inlineStr">
        <is>
          <t>ALINGSÅS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45329</v>
      </c>
      <c r="E229" s="1" t="n">
        <v>46253</v>
      </c>
      <c r="F229" t="inlineStr">
        <is>
          <t>VÄSTRA GÖTALANDS LÄN</t>
        </is>
      </c>
      <c r="G229" t="inlineStr">
        <is>
          <t>ALINGSÅS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46253</v>
      </c>
      <c r="F230" t="inlineStr">
        <is>
          <t>VÄSTRA GÖTALANDS LÄN</t>
        </is>
      </c>
      <c r="G230" t="inlineStr">
        <is>
          <t>ALINGSÅS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45596</v>
      </c>
      <c r="E231" s="1" t="n">
        <v>46253</v>
      </c>
      <c r="F231" t="inlineStr">
        <is>
          <t>VÄSTRA GÖTALANDS LÄN</t>
        </is>
      </c>
      <c r="G231" t="inlineStr">
        <is>
          <t>ALINGSÅS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44582</v>
      </c>
      <c r="E232" s="1" t="n">
        <v>46253</v>
      </c>
      <c r="F232" t="inlineStr">
        <is>
          <t>VÄSTRA GÖTALANDS LÄN</t>
        </is>
      </c>
      <c r="G232" t="inlineStr">
        <is>
          <t>ALINGSÅS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49164-2024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46253</v>
      </c>
      <c r="F233" t="inlineStr">
        <is>
          <t>VÄSTRA GÖTALANDS LÄN</t>
        </is>
      </c>
      <c r="G233" t="inlineStr">
        <is>
          <t>ALINGSÅS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45173</v>
      </c>
      <c r="E234" s="1" t="n">
        <v>46253</v>
      </c>
      <c r="F234" t="inlineStr">
        <is>
          <t>VÄSTRA GÖTALANDS LÄN</t>
        </is>
      </c>
      <c r="G234" t="inlineStr">
        <is>
          <t>ALINGSÅS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46253</v>
      </c>
      <c r="F235" t="inlineStr">
        <is>
          <t>VÄSTRA GÖTALANDS LÄN</t>
        </is>
      </c>
      <c r="G235" t="inlineStr">
        <is>
          <t>ALINGSÅS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21143-2024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45440</v>
      </c>
      <c r="E236" s="1" t="n">
        <v>46253</v>
      </c>
      <c r="F236" t="inlineStr">
        <is>
          <t>VÄSTRA GÖTALANDS LÄN</t>
        </is>
      </c>
      <c r="G236" t="inlineStr">
        <is>
          <t>ALINGSÅS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46253</v>
      </c>
      <c r="F237" t="inlineStr">
        <is>
          <t>VÄSTRA GÖTALANDS LÄN</t>
        </is>
      </c>
      <c r="G237" t="inlineStr">
        <is>
          <t>ALINGSÅS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46253</v>
      </c>
      <c r="F238" t="inlineStr">
        <is>
          <t>VÄSTRA GÖTALANDS LÄN</t>
        </is>
      </c>
      <c r="G238" t="inlineStr">
        <is>
          <t>ALINGSÅS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24847-2026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46253</v>
      </c>
      <c r="F239" t="inlineStr">
        <is>
          <t>VÄSTRA GÖTALANDS LÄN</t>
        </is>
      </c>
      <c r="G239" t="inlineStr">
        <is>
          <t>ALINGSÅS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46253</v>
      </c>
      <c r="F240" t="inlineStr">
        <is>
          <t>VÄSTRA GÖTALANDS LÄN</t>
        </is>
      </c>
      <c r="G240" t="inlineStr">
        <is>
          <t>ALINGSÅS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25457-2026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46177</v>
      </c>
      <c r="E241" s="1" t="n">
        <v>46253</v>
      </c>
      <c r="F241" t="inlineStr">
        <is>
          <t>VÄSTRA GÖTALANDS LÄN</t>
        </is>
      </c>
      <c r="G241" t="inlineStr">
        <is>
          <t>ALINGSÅS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25343-2026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46176</v>
      </c>
      <c r="E242" s="1" t="n">
        <v>46253</v>
      </c>
      <c r="F242" t="inlineStr">
        <is>
          <t>VÄSTRA GÖTALANDS LÄN</t>
        </is>
      </c>
      <c r="G242" t="inlineStr">
        <is>
          <t>ALINGSÅS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46253</v>
      </c>
      <c r="F243" t="inlineStr">
        <is>
          <t>VÄSTRA GÖTALANDS LÄN</t>
        </is>
      </c>
      <c r="G243" t="inlineStr">
        <is>
          <t>ALINGSÅS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46253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46253</v>
      </c>
      <c r="F245" t="inlineStr">
        <is>
          <t>VÄSTRA GÖTALANDS LÄN</t>
        </is>
      </c>
      <c r="G245" t="inlineStr">
        <is>
          <t>ALINGSÅS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46253</v>
      </c>
      <c r="F246" t="inlineStr">
        <is>
          <t>VÄSTRA GÖTALANDS LÄN</t>
        </is>
      </c>
      <c r="G246" t="inlineStr">
        <is>
          <t>ALINGSÅS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45456</v>
      </c>
      <c r="E247" s="1" t="n">
        <v>46253</v>
      </c>
      <c r="F247" t="inlineStr">
        <is>
          <t>VÄSTRA GÖTALANDS LÄN</t>
        </is>
      </c>
      <c r="G247" t="inlineStr">
        <is>
          <t>ALINGSÅS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46253</v>
      </c>
      <c r="F248" t="inlineStr">
        <is>
          <t>VÄSTRA GÖTALANDS LÄN</t>
        </is>
      </c>
      <c r="G248" t="inlineStr">
        <is>
          <t>ALINGSÅS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45254</v>
      </c>
      <c r="E249" s="1" t="n">
        <v>46253</v>
      </c>
      <c r="F249" t="inlineStr">
        <is>
          <t>VÄSTRA GÖTALANDS LÄN</t>
        </is>
      </c>
      <c r="G249" t="inlineStr">
        <is>
          <t>ALINGSÅS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44727</v>
      </c>
      <c r="E250" s="1" t="n">
        <v>46253</v>
      </c>
      <c r="F250" t="inlineStr">
        <is>
          <t>VÄSTRA GÖTALANDS LÄN</t>
        </is>
      </c>
      <c r="G250" t="inlineStr">
        <is>
          <t>ALINGSÅS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46253</v>
      </c>
      <c r="F251" t="inlineStr">
        <is>
          <t>VÄSTRA GÖTALANDS LÄN</t>
        </is>
      </c>
      <c r="G251" t="inlineStr">
        <is>
          <t>ALINGSÅS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44852</v>
      </c>
      <c r="E252" s="1" t="n">
        <v>46253</v>
      </c>
      <c r="F252" t="inlineStr">
        <is>
          <t>VÄSTRA GÖTALANDS LÄN</t>
        </is>
      </c>
      <c r="G252" t="inlineStr">
        <is>
          <t>ALINGSÅS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46253</v>
      </c>
      <c r="F253" t="inlineStr">
        <is>
          <t>VÄSTRA GÖTALANDS LÄN</t>
        </is>
      </c>
      <c r="G253" t="inlineStr">
        <is>
          <t>ALINGSÅS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46253</v>
      </c>
      <c r="F254" t="inlineStr">
        <is>
          <t>VÄSTRA GÖTALANDS LÄN</t>
        </is>
      </c>
      <c r="G254" t="inlineStr">
        <is>
          <t>ALINGSÅS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46253</v>
      </c>
      <c r="F255" t="inlineStr">
        <is>
          <t>VÄSTRA GÖTALANDS LÄN</t>
        </is>
      </c>
      <c r="G255" t="inlineStr">
        <is>
          <t>ALINGSÅS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45166</v>
      </c>
      <c r="E256" s="1" t="n">
        <v>46253</v>
      </c>
      <c r="F256" t="inlineStr">
        <is>
          <t>VÄSTRA GÖTALANDS LÄN</t>
        </is>
      </c>
      <c r="G256" t="inlineStr">
        <is>
          <t>ALINGSÅS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46232</v>
      </c>
      <c r="E257" s="1" t="n">
        <v>46253</v>
      </c>
      <c r="F257" t="inlineStr">
        <is>
          <t>VÄSTRA GÖTALANDS LÄN</t>
        </is>
      </c>
      <c r="G257" t="inlineStr">
        <is>
          <t>ALINGSÅS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46253</v>
      </c>
      <c r="F258" t="inlineStr">
        <is>
          <t>VÄSTRA GÖTALANDS LÄN</t>
        </is>
      </c>
      <c r="G258" t="inlineStr">
        <is>
          <t>ALINGSÅS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46253</v>
      </c>
      <c r="F259" t="inlineStr">
        <is>
          <t>VÄSTRA GÖTALANDS LÄN</t>
        </is>
      </c>
      <c r="G259" t="inlineStr">
        <is>
          <t>ALINGSÅS</t>
        </is>
      </c>
      <c r="I259" t="n">
        <v>21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45465</v>
      </c>
      <c r="E260" s="1" t="n">
        <v>46253</v>
      </c>
      <c r="F260" t="inlineStr">
        <is>
          <t>VÄSTRA GÖTALANDS LÄN</t>
        </is>
      </c>
      <c r="G260" t="inlineStr">
        <is>
          <t>ALINGSÅS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60904-2023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45261</v>
      </c>
      <c r="E261" s="1" t="n">
        <v>46253</v>
      </c>
      <c r="F261" t="inlineStr">
        <is>
          <t>VÄSTRA GÖTALANDS LÄN</t>
        </is>
      </c>
      <c r="G261" t="inlineStr">
        <is>
          <t>ALINGSÅS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46253</v>
      </c>
      <c r="F262" t="inlineStr">
        <is>
          <t>VÄSTRA GÖTALANDS LÄN</t>
        </is>
      </c>
      <c r="G262" t="inlineStr">
        <is>
          <t>ALINGSÅS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45271</v>
      </c>
      <c r="E263" s="1" t="n">
        <v>46253</v>
      </c>
      <c r="F263" t="inlineStr">
        <is>
          <t>VÄSTRA GÖTALANDS LÄN</t>
        </is>
      </c>
      <c r="G263" t="inlineStr">
        <is>
          <t>ALINGSÅS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2362-2024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45310</v>
      </c>
      <c r="E264" s="1" t="n">
        <v>46253</v>
      </c>
      <c r="F264" t="inlineStr">
        <is>
          <t>VÄSTRA GÖTALANDS LÄN</t>
        </is>
      </c>
      <c r="G264" t="inlineStr">
        <is>
          <t>ALINGSÅS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45265</v>
      </c>
      <c r="E265" s="1" t="n">
        <v>46253</v>
      </c>
      <c r="F265" t="inlineStr">
        <is>
          <t>VÄSTRA GÖTALANDS LÄN</t>
        </is>
      </c>
      <c r="G265" t="inlineStr">
        <is>
          <t>ALINGSÅS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8080-2023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46253</v>
      </c>
      <c r="F266" t="inlineStr">
        <is>
          <t>VÄSTRA GÖTALANDS LÄN</t>
        </is>
      </c>
      <c r="G266" t="inlineStr">
        <is>
          <t>ALINGSÅS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50039-2021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44456</v>
      </c>
      <c r="E267" s="1" t="n">
        <v>46253</v>
      </c>
      <c r="F267" t="inlineStr">
        <is>
          <t>VÄSTRA GÖTALANDS LÄN</t>
        </is>
      </c>
      <c r="G267" t="inlineStr">
        <is>
          <t>ALINGSÅS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45210</v>
      </c>
      <c r="E268" s="1" t="n">
        <v>46253</v>
      </c>
      <c r="F268" t="inlineStr">
        <is>
          <t>VÄSTRA GÖTALANDS LÄN</t>
        </is>
      </c>
      <c r="G268" t="inlineStr">
        <is>
          <t>ALINGSÅS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25141-2022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44729</v>
      </c>
      <c r="E269" s="1" t="n">
        <v>46253</v>
      </c>
      <c r="F269" t="inlineStr">
        <is>
          <t>VÄSTRA GÖTALANDS LÄN</t>
        </is>
      </c>
      <c r="G269" t="inlineStr">
        <is>
          <t>ALINGSÅS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42531-2022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44831</v>
      </c>
      <c r="E270" s="1" t="n">
        <v>46253</v>
      </c>
      <c r="F270" t="inlineStr">
        <is>
          <t>VÄSTRA GÖTALANDS LÄN</t>
        </is>
      </c>
      <c r="G270" t="inlineStr">
        <is>
          <t>ALINGSÅS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46253</v>
      </c>
      <c r="F271" t="inlineStr">
        <is>
          <t>VÄSTRA GÖTALANDS LÄN</t>
        </is>
      </c>
      <c r="G271" t="inlineStr">
        <is>
          <t>ALINGSÅS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40293-2022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44821</v>
      </c>
      <c r="E272" s="1" t="n">
        <v>46253</v>
      </c>
      <c r="F272" t="inlineStr">
        <is>
          <t>VÄSTRA GÖTALANDS LÄN</t>
        </is>
      </c>
      <c r="G272" t="inlineStr">
        <is>
          <t>ALINGSÅS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46253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46253</v>
      </c>
      <c r="F274" t="inlineStr">
        <is>
          <t>VÄSTRA GÖTALANDS LÄN</t>
        </is>
      </c>
      <c r="G274" t="inlineStr">
        <is>
          <t>ALINGSÅS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45097</v>
      </c>
      <c r="E275" s="1" t="n">
        <v>46253</v>
      </c>
      <c r="F275" t="inlineStr">
        <is>
          <t>VÄSTRA GÖTALANDS LÄN</t>
        </is>
      </c>
      <c r="G275" t="inlineStr">
        <is>
          <t>ALINGSÅS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46253</v>
      </c>
      <c r="F276" t="inlineStr">
        <is>
          <t>VÄSTRA GÖTALANDS LÄN</t>
        </is>
      </c>
      <c r="G276" t="inlineStr">
        <is>
          <t>ALINGSÅS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33571-2026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46248</v>
      </c>
      <c r="E277" s="1" t="n">
        <v>46253</v>
      </c>
      <c r="F277" t="inlineStr">
        <is>
          <t>VÄSTRA GÖTALANDS LÄN</t>
        </is>
      </c>
      <c r="G277" t="inlineStr">
        <is>
          <t>ALINGSÅS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33574-2026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46248</v>
      </c>
      <c r="E278" s="1" t="n">
        <v>46253</v>
      </c>
      <c r="F278" t="inlineStr">
        <is>
          <t>VÄSTRA GÖTALANDS LÄN</t>
        </is>
      </c>
      <c r="G278" t="inlineStr">
        <is>
          <t>ALINGSÅS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8981-2023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44979</v>
      </c>
      <c r="E279" s="1" t="n">
        <v>46253</v>
      </c>
      <c r="F279" t="inlineStr">
        <is>
          <t>VÄSTRA GÖTALANDS LÄN</t>
        </is>
      </c>
      <c r="G279" t="inlineStr">
        <is>
          <t>ALINGSÅS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57491-2022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46253</v>
      </c>
      <c r="F280" t="inlineStr">
        <is>
          <t>VÄSTRA GÖTALANDS LÄN</t>
        </is>
      </c>
      <c r="G280" t="inlineStr">
        <is>
          <t>ALINGSÅS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8828-2024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45356</v>
      </c>
      <c r="E281" s="1" t="n">
        <v>46253</v>
      </c>
      <c r="F281" t="inlineStr">
        <is>
          <t>VÄSTRA GÖTALANDS LÄN</t>
        </is>
      </c>
      <c r="G281" t="inlineStr">
        <is>
          <t>ALINGSÅS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46253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52302-2024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46253</v>
      </c>
      <c r="F283" t="inlineStr">
        <is>
          <t>VÄSTRA GÖTALANDS LÄN</t>
        </is>
      </c>
      <c r="G283" t="inlineStr">
        <is>
          <t>ALINGSÅS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59541-2022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44907</v>
      </c>
      <c r="E284" s="1" t="n">
        <v>46253</v>
      </c>
      <c r="F284" t="inlineStr">
        <is>
          <t>VÄSTRA GÖTALANDS LÄN</t>
        </is>
      </c>
      <c r="G284" t="inlineStr">
        <is>
          <t>ALINGSÅS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45546</v>
      </c>
      <c r="E285" s="1" t="n">
        <v>46253</v>
      </c>
      <c r="F285" t="inlineStr">
        <is>
          <t>VÄSTRA GÖTALANDS LÄN</t>
        </is>
      </c>
      <c r="G285" t="inlineStr">
        <is>
          <t>ALINGSÅS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8980-2023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44979</v>
      </c>
      <c r="E286" s="1" t="n">
        <v>46253</v>
      </c>
      <c r="F286" t="inlineStr">
        <is>
          <t>VÄSTRA GÖTALANDS LÄN</t>
        </is>
      </c>
      <c r="G286" t="inlineStr">
        <is>
          <t>ALINGSÅS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46253</v>
      </c>
      <c r="F287" t="inlineStr">
        <is>
          <t>VÄSTRA GÖTALANDS LÄN</t>
        </is>
      </c>
      <c r="G287" t="inlineStr">
        <is>
          <t>ALINGSÅS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31873-2023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45118</v>
      </c>
      <c r="E288" s="1" t="n">
        <v>46253</v>
      </c>
      <c r="F288" t="inlineStr">
        <is>
          <t>VÄSTRA GÖTALANDS LÄN</t>
        </is>
      </c>
      <c r="G288" t="inlineStr">
        <is>
          <t>ALINGSÅS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53887-2021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44469</v>
      </c>
      <c r="E289" s="1" t="n">
        <v>46253</v>
      </c>
      <c r="F289" t="inlineStr">
        <is>
          <t>VÄSTRA GÖTALANDS LÄN</t>
        </is>
      </c>
      <c r="G289" t="inlineStr">
        <is>
          <t>ALINGSÅS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45679</v>
      </c>
      <c r="E290" s="1" t="n">
        <v>46253</v>
      </c>
      <c r="F290" t="inlineStr">
        <is>
          <t>VÄSTRA GÖTALANDS LÄN</t>
        </is>
      </c>
      <c r="G290" t="inlineStr">
        <is>
          <t>ALINGSÅS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45412</v>
      </c>
      <c r="E291" s="1" t="n">
        <v>46253</v>
      </c>
      <c r="F291" t="inlineStr">
        <is>
          <t>VÄSTRA GÖTALANDS LÄN</t>
        </is>
      </c>
      <c r="G291" t="inlineStr">
        <is>
          <t>ALINGSÅS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46253</v>
      </c>
      <c r="F292" t="inlineStr">
        <is>
          <t>VÄSTRA GÖTALANDS LÄN</t>
        </is>
      </c>
      <c r="G292" t="inlineStr">
        <is>
          <t>ALINGSÅS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44953</v>
      </c>
      <c r="E293" s="1" t="n">
        <v>46253</v>
      </c>
      <c r="F293" t="inlineStr">
        <is>
          <t>VÄSTRA GÖTALANDS LÄN</t>
        </is>
      </c>
      <c r="G293" t="inlineStr">
        <is>
          <t>ALINGSÅS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45152</v>
      </c>
      <c r="E294" s="1" t="n">
        <v>46253</v>
      </c>
      <c r="F294" t="inlineStr">
        <is>
          <t>VÄSTRA GÖTALANDS LÄN</t>
        </is>
      </c>
      <c r="G294" t="inlineStr">
        <is>
          <t>ALINGSÅS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38955-2022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44816</v>
      </c>
      <c r="E295" s="1" t="n">
        <v>46253</v>
      </c>
      <c r="F295" t="inlineStr">
        <is>
          <t>VÄSTRA GÖTALANDS LÄN</t>
        </is>
      </c>
      <c r="G295" t="inlineStr">
        <is>
          <t>ALINGSÅS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46253</v>
      </c>
      <c r="F296" t="inlineStr">
        <is>
          <t>VÄSTRA GÖTALANDS LÄN</t>
        </is>
      </c>
      <c r="G296" t="inlineStr">
        <is>
          <t>ALINGSÅS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57450-2024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45630</v>
      </c>
      <c r="E297" s="1" t="n">
        <v>46253</v>
      </c>
      <c r="F297" t="inlineStr">
        <is>
          <t>VÄSTRA GÖTALANDS LÄN</t>
        </is>
      </c>
      <c r="G297" t="inlineStr">
        <is>
          <t>ALINGSÅS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44984</v>
      </c>
      <c r="E298" s="1" t="n">
        <v>46253</v>
      </c>
      <c r="F298" t="inlineStr">
        <is>
          <t>VÄSTRA GÖTALANDS LÄN</t>
        </is>
      </c>
      <c r="G298" t="inlineStr">
        <is>
          <t>ALINGSÅS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52298-2024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45608</v>
      </c>
      <c r="E299" s="1" t="n">
        <v>46253</v>
      </c>
      <c r="F299" t="inlineStr">
        <is>
          <t>VÄSTRA GÖTALANDS LÄN</t>
        </is>
      </c>
      <c r="G299" t="inlineStr">
        <is>
          <t>ALINGSÅS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44991</v>
      </c>
      <c r="E300" s="1" t="n">
        <v>46253</v>
      </c>
      <c r="F300" t="inlineStr">
        <is>
          <t>VÄSTRA GÖTALANDS LÄN</t>
        </is>
      </c>
      <c r="G300" t="inlineStr">
        <is>
          <t>ALINGSÅS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45600</v>
      </c>
      <c r="E301" s="1" t="n">
        <v>46253</v>
      </c>
      <c r="F301" t="inlineStr">
        <is>
          <t>VÄSTRA GÖTALANDS LÄN</t>
        </is>
      </c>
      <c r="G301" t="inlineStr">
        <is>
          <t>ALINGSÅS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45371</v>
      </c>
      <c r="E302" s="1" t="n">
        <v>46253</v>
      </c>
      <c r="F302" t="inlineStr">
        <is>
          <t>VÄSTRA GÖTALANDS LÄN</t>
        </is>
      </c>
      <c r="G302" t="inlineStr">
        <is>
          <t>ALINGSÅS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45429</v>
      </c>
      <c r="E303" s="1" t="n">
        <v>46253</v>
      </c>
      <c r="F303" t="inlineStr">
        <is>
          <t>VÄSTRA GÖTALANDS LÄN</t>
        </is>
      </c>
      <c r="G303" t="inlineStr">
        <is>
          <t>ALINGSÅS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45427</v>
      </c>
      <c r="E304" s="1" t="n">
        <v>46253</v>
      </c>
      <c r="F304" t="inlineStr">
        <is>
          <t>VÄSTRA GÖTALANDS LÄN</t>
        </is>
      </c>
      <c r="G304" t="inlineStr">
        <is>
          <t>ALINGSÅS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33491-2024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45519</v>
      </c>
      <c r="E305" s="1" t="n">
        <v>46253</v>
      </c>
      <c r="F305" t="inlineStr">
        <is>
          <t>VÄSTRA GÖTALANDS LÄN</t>
        </is>
      </c>
      <c r="G305" t="inlineStr">
        <is>
          <t>ALINGSÅS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45792</v>
      </c>
      <c r="E306" s="1" t="n">
        <v>46253</v>
      </c>
      <c r="F306" t="inlineStr">
        <is>
          <t>VÄSTRA GÖTALANDS LÄN</t>
        </is>
      </c>
      <c r="G306" t="inlineStr">
        <is>
          <t>ALINGSÅS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45681</v>
      </c>
      <c r="E307" s="1" t="n">
        <v>46253</v>
      </c>
      <c r="F307" t="inlineStr">
        <is>
          <t>VÄSTRA GÖTALANDS LÄN</t>
        </is>
      </c>
      <c r="G307" t="inlineStr">
        <is>
          <t>ALINGSÅS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60026-2023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45258</v>
      </c>
      <c r="E308" s="1" t="n">
        <v>46253</v>
      </c>
      <c r="F308" t="inlineStr">
        <is>
          <t>VÄSTRA GÖTALANDS LÄN</t>
        </is>
      </c>
      <c r="G308" t="inlineStr">
        <is>
          <t>ALINGSÅS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45510</v>
      </c>
      <c r="E309" s="1" t="n">
        <v>46253</v>
      </c>
      <c r="F309" t="inlineStr">
        <is>
          <t>VÄSTRA GÖTALANDS LÄN</t>
        </is>
      </c>
      <c r="G309" t="inlineStr">
        <is>
          <t>ALINGSÅS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46253</v>
      </c>
      <c r="F310" t="inlineStr">
        <is>
          <t>VÄSTRA GÖTALANDS LÄN</t>
        </is>
      </c>
      <c r="G310" t="inlineStr">
        <is>
          <t>ALINGSÅS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45803</v>
      </c>
      <c r="E311" s="1" t="n">
        <v>46253</v>
      </c>
      <c r="F311" t="inlineStr">
        <is>
          <t>VÄSTRA GÖTALANDS LÄN</t>
        </is>
      </c>
      <c r="G311" t="inlineStr">
        <is>
          <t>ALINGSÅS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46253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46253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46253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46253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46253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46253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46253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46253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46253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46253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2026-08-19T01:48:43Z</dcterms:created>
  <dcterms:modified xmlns:dcterms="http://purl.org/dc/terms/" xmlns:xsi="http://www.w3.org/2001/XMLSchema-instance" xsi:type="dcterms:W3CDTF">2026-08-19T01:48:43Z</dcterms:modified>
</cp:coreProperties>
</file>