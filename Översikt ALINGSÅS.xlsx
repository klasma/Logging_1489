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46223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V2">
        <f>HYPERLINK("https://klasma.github.io/Logging_1489/artfynd/A 2093-2026 artfynd.xlsx", "A 2093-2026")</f>
        <v/>
      </c>
      <c r="W2">
        <f>HYPERLINK("https://klasma.github.io/Logging_1489/kartor/A 2093-2026 karta.png", "A 2093-2026")</f>
        <v/>
      </c>
      <c r="X2">
        <f>HYPERLINK("https://klasma.github.io/Logging_1489/kartor_geotiff/A 2093-2026 georefererad karta.tif", "A 2093-2026")</f>
        <v/>
      </c>
      <c r="Z2">
        <f>HYPERLINK("https://klasma.github.io/Logging_1489/klagomål/A 2093-2026 FSC-klagomål.docx", "A 2093-2026")</f>
        <v/>
      </c>
      <c r="AA2">
        <f>HYPERLINK("https://klasma.github.io/Logging_1489/klagomålsmail/A 2093-2026 FSC-klagomål mail.docx", "A 2093-2026")</f>
        <v/>
      </c>
      <c r="AB2">
        <f>HYPERLINK("https://klasma.github.io/Logging_1489/tillsyn/A 2093-2026 tillsynsbegäran.docx", "A 2093-2026")</f>
        <v/>
      </c>
      <c r="AC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46223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13</v>
      </c>
      <c r="U3" s="2" t="inlineStr">
        <is>
          <t>Sparvuggla
Talltita
Barkkornlav
Bårdlav
Fällmossa
Kruskantarell
Lindskål
Slanklav
Spillkråka
Tjäder
Grönsiska
Kungsfågel</t>
        </is>
      </c>
      <c r="V3">
        <f>HYPERLINK("https://klasma.github.io/Logging_1489/artfynd/S 2000-2023 artfynd.xlsx", "S 2000-2023")</f>
        <v/>
      </c>
      <c r="W3">
        <f>HYPERLINK("https://klasma.github.io/Logging_1489/kartor/S 2000-2023 karta.png", "S 2000-2023")</f>
        <v/>
      </c>
      <c r="X3">
        <f>HYPERLINK("https://klasma.github.io/Logging_1489/kartor_geotiff/S 2000-2023 georefererad karta.tif", "S 2000-2023")</f>
        <v/>
      </c>
      <c r="Z3">
        <f>HYPERLINK("https://klasma.github.io/Logging_1489/klagomål/S 2000-2023 FSC-klagomål.docx", "S 2000-2023")</f>
        <v/>
      </c>
      <c r="AA3">
        <f>HYPERLINK("https://klasma.github.io/Logging_1489/klagomålsmail/S 2000-2023 FSC-klagomål mail.docx", "S 2000-2023")</f>
        <v/>
      </c>
      <c r="AB3">
        <f>HYPERLINK("https://klasma.github.io/Logging_1489/tillsyn/S 2000-2023 tillsynsbegäran.docx", "S 2000-2023")</f>
        <v/>
      </c>
      <c r="AC3">
        <f>HYPERLINK("https://klasma.github.io/Logging_1489/tillsynsmail/S 2000-2023 tillsynsbegäran mail.docx", "S 2000-2023")</f>
        <v/>
      </c>
      <c r="AD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46223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s="2" t="inlineStr">
        <is>
          <t>Björktrast
Entita
Gulsparv
Mindre hackspett
Trubbfjädermossa
Grönsiska
Svartvit flugsnappare
Sävsparv</t>
        </is>
      </c>
      <c r="V4">
        <f>HYPERLINK("https://klasma.github.io/Logging_1489/artfynd/A 56530-2023 artfynd.xlsx", "A 56530-2023")</f>
        <v/>
      </c>
      <c r="W4">
        <f>HYPERLINK("https://klasma.github.io/Logging_1489/kartor/A 56530-2023 karta.png", "A 56530-2023")</f>
        <v/>
      </c>
      <c r="X4">
        <f>HYPERLINK("https://klasma.github.io/Logging_1489/kartor_geotiff/A 56530-2023 georefererad karta.tif", "A 56530-2023")</f>
        <v/>
      </c>
      <c r="Z4">
        <f>HYPERLINK("https://klasma.github.io/Logging_1489/klagomål/A 56530-2023 FSC-klagomål.docx", "A 56530-2023")</f>
        <v/>
      </c>
      <c r="AA4">
        <f>HYPERLINK("https://klasma.github.io/Logging_1489/klagomålsmail/A 56530-2023 FSC-klagomål mail.docx", "A 56530-2023")</f>
        <v/>
      </c>
      <c r="AB4">
        <f>HYPERLINK("https://klasma.github.io/Logging_1489/tillsyn/A 56530-2023 tillsynsbegäran.docx", "A 56530-2023")</f>
        <v/>
      </c>
      <c r="AC4">
        <f>HYPERLINK("https://klasma.github.io/Logging_1489/tillsynsmail/A 56530-2023 tillsynsbegäran mail.docx", "A 56530-2023")</f>
        <v/>
      </c>
      <c r="AD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46223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s="2" t="inlineStr">
        <is>
          <t>Ask
Klosterlav
Grynig filtlav
Sydlig blekspik
Dvärgtufs
Fällmossa
Guldlockmossa
Trubbfjädermossa</t>
        </is>
      </c>
      <c r="V5">
        <f>HYPERLINK("https://klasma.github.io/Logging_1489/artfynd/S 4104-2023 artfynd.xlsx", "S 4104-2023")</f>
        <v/>
      </c>
      <c r="W5">
        <f>HYPERLINK("https://klasma.github.io/Logging_1489/kartor/S 4104-2023 karta.png", "S 4104-2023")</f>
        <v/>
      </c>
      <c r="X5">
        <f>HYPERLINK("https://klasma.github.io/Logging_1489/kartor_geotiff/S 4104-2023 georefererad karta.tif", "S 4104-2023")</f>
        <v/>
      </c>
      <c r="Z5">
        <f>HYPERLINK("https://klasma.github.io/Logging_1489/klagomål/S 4104-2023 FSC-klagomål.docx", "S 4104-2023")</f>
        <v/>
      </c>
      <c r="AA5">
        <f>HYPERLINK("https://klasma.github.io/Logging_1489/klagomålsmail/S 4104-2023 FSC-klagomål mail.docx", "S 4104-2023")</f>
        <v/>
      </c>
      <c r="AB5">
        <f>HYPERLINK("https://klasma.github.io/Logging_1489/tillsyn/S 4104-2023 tillsynsbegäran.docx", "S 4104-2023")</f>
        <v/>
      </c>
      <c r="AC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46223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s="2" t="inlineStr">
        <is>
          <t>Björktrast
Grönsångare
Nordfladdermus
Dvärgpipistrell
Grönsiska
Kungsfågel
Större brunfladdermus</t>
        </is>
      </c>
      <c r="V6">
        <f>HYPERLINK("https://klasma.github.io/Logging_1489/artfynd/A 57763-2024 artfynd.xlsx", "A 57763-2024")</f>
        <v/>
      </c>
      <c r="W6">
        <f>HYPERLINK("https://klasma.github.io/Logging_1489/kartor/A 57763-2024 karta.png", "A 57763-2024")</f>
        <v/>
      </c>
      <c r="X6">
        <f>HYPERLINK("https://klasma.github.io/Logging_1489/kartor_geotiff/A 57763-2024 georefererad karta.tif", "A 57763-2024")</f>
        <v/>
      </c>
      <c r="Z6">
        <f>HYPERLINK("https://klasma.github.io/Logging_1489/klagomål/A 57763-2024 FSC-klagomål.docx", "A 57763-2024")</f>
        <v/>
      </c>
      <c r="AA6">
        <f>HYPERLINK("https://klasma.github.io/Logging_1489/klagomålsmail/A 57763-2024 FSC-klagomål mail.docx", "A 57763-2024")</f>
        <v/>
      </c>
      <c r="AB6">
        <f>HYPERLINK("https://klasma.github.io/Logging_1489/tillsyn/A 57763-2024 tillsynsbegäran.docx", "A 57763-2024")</f>
        <v/>
      </c>
      <c r="AC6">
        <f>HYPERLINK("https://klasma.github.io/Logging_1489/tillsynsmail/A 57763-2024 tillsynsbegäran mail.docx", "A 57763-2024")</f>
        <v/>
      </c>
      <c r="AD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46223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s="2" t="inlineStr">
        <is>
          <t>Flikbålmossa
Loppstarr
Blodticka
Spillkråka
Åkergroda
Äkta lopplummer</t>
        </is>
      </c>
      <c r="V7">
        <f>HYPERLINK("https://klasma.github.io/Logging_1489/artfynd/A 27271-2025 artfynd.xlsx", "A 27271-2025")</f>
        <v/>
      </c>
      <c r="W7">
        <f>HYPERLINK("https://klasma.github.io/Logging_1489/kartor/A 27271-2025 karta.png", "A 27271-2025")</f>
        <v/>
      </c>
      <c r="X7">
        <f>HYPERLINK("https://klasma.github.io/Logging_1489/kartor_geotiff/A 27271-2025 georefererad karta.tif", "A 27271-2025")</f>
        <v/>
      </c>
      <c r="Z7">
        <f>HYPERLINK("https://klasma.github.io/Logging_1489/klagomål/A 27271-2025 FSC-klagomål.docx", "A 27271-2025")</f>
        <v/>
      </c>
      <c r="AA7">
        <f>HYPERLINK("https://klasma.github.io/Logging_1489/klagomålsmail/A 27271-2025 FSC-klagomål mail.docx", "A 27271-2025")</f>
        <v/>
      </c>
      <c r="AB7">
        <f>HYPERLINK("https://klasma.github.io/Logging_1489/tillsyn/A 27271-2025 tillsynsbegäran.docx", "A 27271-2025")</f>
        <v/>
      </c>
      <c r="AC7">
        <f>HYPERLINK("https://klasma.github.io/Logging_1489/tillsynsmail/A 27271-2025 tillsynsbegäran mail.docx", "A 27271-2025")</f>
        <v/>
      </c>
      <c r="AD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46223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s="2" t="inlineStr">
        <is>
          <t>Ask
Skogsalm
Tibast
Skogsödla
Vanlig padda</t>
        </is>
      </c>
      <c r="V8">
        <f>HYPERLINK("https://klasma.github.io/Logging_1489/artfynd/A 10017-2022 artfynd.xlsx", "A 10017-2022")</f>
        <v/>
      </c>
      <c r="W8">
        <f>HYPERLINK("https://klasma.github.io/Logging_1489/kartor/A 10017-2022 karta.png", "A 10017-2022")</f>
        <v/>
      </c>
      <c r="X8">
        <f>HYPERLINK("https://klasma.github.io/Logging_1489/kartor_geotiff/A 10017-2022 georefererad karta.tif", "A 10017-2022")</f>
        <v/>
      </c>
      <c r="Z8">
        <f>HYPERLINK("https://klasma.github.io/Logging_1489/klagomål/A 10017-2022 FSC-klagomål.docx", "A 10017-2022")</f>
        <v/>
      </c>
      <c r="AA8">
        <f>HYPERLINK("https://klasma.github.io/Logging_1489/klagomålsmail/A 10017-2022 FSC-klagomål mail.docx", "A 10017-2022")</f>
        <v/>
      </c>
      <c r="AB8">
        <f>HYPERLINK("https://klasma.github.io/Logging_1489/tillsyn/A 10017-2022 tillsynsbegäran.docx", "A 10017-2022")</f>
        <v/>
      </c>
      <c r="AC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46223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s="2" t="inlineStr">
        <is>
          <t>Entita
Gulsparv
Scharlakansvårskål agg.
Tibast
Större vattensalamander</t>
        </is>
      </c>
      <c r="V9">
        <f>HYPERLINK("https://klasma.github.io/Logging_1489/artfynd/A 51221-2022 artfynd.xlsx", "A 51221-2022")</f>
        <v/>
      </c>
      <c r="W9">
        <f>HYPERLINK("https://klasma.github.io/Logging_1489/kartor/A 51221-2022 karta.png", "A 51221-2022")</f>
        <v/>
      </c>
      <c r="X9">
        <f>HYPERLINK("https://klasma.github.io/Logging_1489/kartor_geotiff/A 51221-2022 georefererad karta.tif", "A 51221-2022")</f>
        <v/>
      </c>
      <c r="Z9">
        <f>HYPERLINK("https://klasma.github.io/Logging_1489/klagomål/A 51221-2022 FSC-klagomål.docx", "A 51221-2022")</f>
        <v/>
      </c>
      <c r="AA9">
        <f>HYPERLINK("https://klasma.github.io/Logging_1489/klagomålsmail/A 51221-2022 FSC-klagomål mail.docx", "A 51221-2022")</f>
        <v/>
      </c>
      <c r="AB9">
        <f>HYPERLINK("https://klasma.github.io/Logging_1489/tillsyn/A 51221-2022 tillsynsbegäran.docx", "A 51221-2022")</f>
        <v/>
      </c>
      <c r="AC9">
        <f>HYPERLINK("https://klasma.github.io/Logging_1489/tillsynsmail/A 51221-2022 tillsynsbegäran mail.docx", "A 51221-2022")</f>
        <v/>
      </c>
      <c r="AD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46223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s="2" t="inlineStr">
        <is>
          <t>Grönsångare
Kråka
Kungsfågel
Svartvit flugsnappare</t>
        </is>
      </c>
      <c r="V10">
        <f>HYPERLINK("https://klasma.github.io/Logging_1489/artfynd/A 64082-2023 artfynd.xlsx", "A 64082-2023")</f>
        <v/>
      </c>
      <c r="W10">
        <f>HYPERLINK("https://klasma.github.io/Logging_1489/kartor/A 64082-2023 karta.png", "A 64082-2023")</f>
        <v/>
      </c>
      <c r="X10">
        <f>HYPERLINK("https://klasma.github.io/Logging_1489/kartor_geotiff/A 64082-2023 georefererad karta.tif", "A 64082-2023")</f>
        <v/>
      </c>
      <c r="Z10">
        <f>HYPERLINK("https://klasma.github.io/Logging_1489/klagomål/A 64082-2023 FSC-klagomål.docx", "A 64082-2023")</f>
        <v/>
      </c>
      <c r="AA10">
        <f>HYPERLINK("https://klasma.github.io/Logging_1489/klagomålsmail/A 64082-2023 FSC-klagomål mail.docx", "A 64082-2023")</f>
        <v/>
      </c>
      <c r="AB10">
        <f>HYPERLINK("https://klasma.github.io/Logging_1489/tillsyn/A 64082-2023 tillsynsbegäran.docx", "A 64082-2023")</f>
        <v/>
      </c>
      <c r="AC10">
        <f>HYPERLINK("https://klasma.github.io/Logging_1489/tillsynsmail/A 64082-2023 tillsynsbegäran mail.docx", "A 64082-2023")</f>
        <v/>
      </c>
      <c r="AD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46223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s="2" t="inlineStr">
        <is>
          <t>Grönsångare
Nordfladdermus
Mattlummer
Kungsfågel</t>
        </is>
      </c>
      <c r="V11">
        <f>HYPERLINK("https://klasma.github.io/Logging_1489/artfynd/A 63493-2023 artfynd.xlsx", "A 63493-2023")</f>
        <v/>
      </c>
      <c r="W11">
        <f>HYPERLINK("https://klasma.github.io/Logging_1489/kartor/A 63493-2023 karta.png", "A 63493-2023")</f>
        <v/>
      </c>
      <c r="X11">
        <f>HYPERLINK("https://klasma.github.io/Logging_1489/kartor_geotiff/A 63493-2023 georefererad karta.tif", "A 63493-2023")</f>
        <v/>
      </c>
      <c r="Z11">
        <f>HYPERLINK("https://klasma.github.io/Logging_1489/klagomål/A 63493-2023 FSC-klagomål.docx", "A 63493-2023")</f>
        <v/>
      </c>
      <c r="AA11">
        <f>HYPERLINK("https://klasma.github.io/Logging_1489/klagomålsmail/A 63493-2023 FSC-klagomål mail.docx", "A 63493-2023")</f>
        <v/>
      </c>
      <c r="AB11">
        <f>HYPERLINK("https://klasma.github.io/Logging_1489/tillsyn/A 63493-2023 tillsynsbegäran.docx", "A 63493-2023")</f>
        <v/>
      </c>
      <c r="AC11">
        <f>HYPERLINK("https://klasma.github.io/Logging_1489/tillsynsmail/A 63493-2023 tillsynsbegäran mail.docx", "A 63493-2023")</f>
        <v/>
      </c>
      <c r="AD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46223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s="2" t="inlineStr">
        <is>
          <t>Sammetstaggsvamp
Dofttaggsvamp
Dropptaggsvamp
Svartvit taggsvamp</t>
        </is>
      </c>
      <c r="V12">
        <f>HYPERLINK("https://klasma.github.io/Logging_1489/artfynd/A 36195-2022 artfynd.xlsx", "A 36195-2022")</f>
        <v/>
      </c>
      <c r="W12">
        <f>HYPERLINK("https://klasma.github.io/Logging_1489/kartor/A 36195-2022 karta.png", "A 36195-2022")</f>
        <v/>
      </c>
      <c r="X12">
        <f>HYPERLINK("https://klasma.github.io/Logging_1489/kartor_geotiff/A 36195-2022 georefererad karta.tif", "A 36195-2022")</f>
        <v/>
      </c>
      <c r="Z12">
        <f>HYPERLINK("https://klasma.github.io/Logging_1489/klagomål/A 36195-2022 FSC-klagomål.docx", "A 36195-2022")</f>
        <v/>
      </c>
      <c r="AA12">
        <f>HYPERLINK("https://klasma.github.io/Logging_1489/klagomålsmail/A 36195-2022 FSC-klagomål mail.docx", "A 36195-2022")</f>
        <v/>
      </c>
      <c r="AB12">
        <f>HYPERLINK("https://klasma.github.io/Logging_1489/tillsyn/A 36195-2022 tillsynsbegäran.docx", "A 36195-2022")</f>
        <v/>
      </c>
      <c r="AC12">
        <f>HYPERLINK("https://klasma.github.io/Logging_1489/tillsynsmail/A 36195-2022 tillsynsbegäran mail.docx", "A 36195-2022")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46223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Göktyta
Törnskata
Ärtsångare</t>
        </is>
      </c>
      <c r="V13">
        <f>HYPERLINK("https://klasma.github.io/Logging_1489/artfynd/A 21662-2024 artfynd.xlsx", "A 21662-2024")</f>
        <v/>
      </c>
      <c r="W13">
        <f>HYPERLINK("https://klasma.github.io/Logging_1489/kartor/A 21662-2024 karta.png", "A 21662-2024")</f>
        <v/>
      </c>
      <c r="X13">
        <f>HYPERLINK("https://klasma.github.io/Logging_1489/kartor_geotiff/A 21662-2024 georefererad karta.tif", "A 21662-2024")</f>
        <v/>
      </c>
      <c r="Z13">
        <f>HYPERLINK("https://klasma.github.io/Logging_1489/klagomål/A 21662-2024 FSC-klagomål.docx", "A 21662-2024")</f>
        <v/>
      </c>
      <c r="AA13">
        <f>HYPERLINK("https://klasma.github.io/Logging_1489/klagomålsmail/A 21662-2024 FSC-klagomål mail.docx", "A 21662-2024")</f>
        <v/>
      </c>
      <c r="AB13">
        <f>HYPERLINK("https://klasma.github.io/Logging_1489/tillsyn/A 21662-2024 tillsynsbegäran.docx", "A 21662-2024")</f>
        <v/>
      </c>
      <c r="AC13">
        <f>HYPERLINK("https://klasma.github.io/Logging_1489/tillsynsmail/A 21662-2024 tillsynsbegäran mail.docx", "A 21662-2024")</f>
        <v/>
      </c>
      <c r="AD13">
        <f>HYPERLINK("https://klasma.github.io/Logging_1489/fåglar/A 21662-2024 prioriterade fågelarter.docx", "A 21662-2024")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46223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s="2" t="inlineStr">
        <is>
          <t>Kråka
Kungsfågel
Svartvit flugsnappare</t>
        </is>
      </c>
      <c r="V14">
        <f>HYPERLINK("https://klasma.github.io/Logging_1489/artfynd/A 57757-2024 artfynd.xlsx", "A 57757-2024")</f>
        <v/>
      </c>
      <c r="W14">
        <f>HYPERLINK("https://klasma.github.io/Logging_1489/kartor/A 57757-2024 karta.png", "A 57757-2024")</f>
        <v/>
      </c>
      <c r="X14">
        <f>HYPERLINK("https://klasma.github.io/Logging_1489/kartor_geotiff/A 57757-2024 georefererad karta.tif", "A 57757-2024")</f>
        <v/>
      </c>
      <c r="Z14">
        <f>HYPERLINK("https://klasma.github.io/Logging_1489/klagomål/A 57757-2024 FSC-klagomål.docx", "A 57757-2024")</f>
        <v/>
      </c>
      <c r="AA14">
        <f>HYPERLINK("https://klasma.github.io/Logging_1489/klagomålsmail/A 57757-2024 FSC-klagomål mail.docx", "A 57757-2024")</f>
        <v/>
      </c>
      <c r="AB14">
        <f>HYPERLINK("https://klasma.github.io/Logging_1489/tillsyn/A 57757-2024 tillsynsbegäran.docx", "A 57757-2024")</f>
        <v/>
      </c>
      <c r="AC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46223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s="2" t="inlineStr">
        <is>
          <t>Grönfink
Grönsångare
Grönsiska</t>
        </is>
      </c>
      <c r="V15">
        <f>HYPERLINK("https://klasma.github.io/Logging_1489/artfynd/A 63479-2023 artfynd.xlsx", "A 63479-2023")</f>
        <v/>
      </c>
      <c r="W15">
        <f>HYPERLINK("https://klasma.github.io/Logging_1489/kartor/A 63479-2023 karta.png", "A 63479-2023")</f>
        <v/>
      </c>
      <c r="X15">
        <f>HYPERLINK("https://klasma.github.io/Logging_1489/kartor_geotiff/A 63479-2023 georefererad karta.tif", "A 63479-2023")</f>
        <v/>
      </c>
      <c r="Z15">
        <f>HYPERLINK("https://klasma.github.io/Logging_1489/klagomål/A 63479-2023 FSC-klagomål.docx", "A 63479-2023")</f>
        <v/>
      </c>
      <c r="AA15">
        <f>HYPERLINK("https://klasma.github.io/Logging_1489/klagomålsmail/A 63479-2023 FSC-klagomål mail.docx", "A 63479-2023")</f>
        <v/>
      </c>
      <c r="AB15">
        <f>HYPERLINK("https://klasma.github.io/Logging_1489/tillsyn/A 63479-2023 tillsynsbegäran.docx", "A 63479-2023")</f>
        <v/>
      </c>
      <c r="AC15">
        <f>HYPERLINK("https://klasma.github.io/Logging_1489/tillsynsmail/A 63479-2023 tillsynsbegäran mail.docx", "A 63479-2023")</f>
        <v/>
      </c>
      <c r="AD15">
        <f>HYPERLINK("https://klasma.github.io/Logging_1489/fåglar/A 63479-2023 prioriterade fågelarter.docx", "A 63479-2023")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46223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s="2" t="inlineStr">
        <is>
          <t>Jungfrulin
Orange taggsvamp
Vanlig groda</t>
        </is>
      </c>
      <c r="V16">
        <f>HYPERLINK("https://klasma.github.io/Logging_1489/artfynd/A 56053-2023 artfynd.xlsx", "A 56053-2023")</f>
        <v/>
      </c>
      <c r="W16">
        <f>HYPERLINK("https://klasma.github.io/Logging_1489/kartor/A 56053-2023 karta.png", "A 56053-2023")</f>
        <v/>
      </c>
      <c r="X16">
        <f>HYPERLINK("https://klasma.github.io/Logging_1489/kartor_geotiff/A 56053-2023 georefererad karta.tif", "A 56053-2023")</f>
        <v/>
      </c>
      <c r="Z16">
        <f>HYPERLINK("https://klasma.github.io/Logging_1489/klagomål/A 56053-2023 FSC-klagomål.docx", "A 56053-2023")</f>
        <v/>
      </c>
      <c r="AA16">
        <f>HYPERLINK("https://klasma.github.io/Logging_1489/klagomålsmail/A 56053-2023 FSC-klagomål mail.docx", "A 56053-2023")</f>
        <v/>
      </c>
      <c r="AB16">
        <f>HYPERLINK("https://klasma.github.io/Logging_1489/tillsyn/A 56053-2023 tillsynsbegäran.docx", "A 56053-2023")</f>
        <v/>
      </c>
      <c r="AC16">
        <f>HYPERLINK("https://klasma.github.io/Logging_1489/tillsynsmail/A 56053-2023 tillsynsbegäran mail.docx", "A 56053-2023")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46223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s="2" t="inlineStr">
        <is>
          <t>Blåmossa
Västlig hakmossa
Spillkråka</t>
        </is>
      </c>
      <c r="V17">
        <f>HYPERLINK("https://klasma.github.io/Logging_1489/artfynd/A 27403-2026 artfynd.xlsx", "A 27403-2026")</f>
        <v/>
      </c>
      <c r="W17">
        <f>HYPERLINK("https://klasma.github.io/Logging_1489/kartor/A 27403-2026 karta.png", "A 27403-2026")</f>
        <v/>
      </c>
      <c r="X17">
        <f>HYPERLINK("https://klasma.github.io/Logging_1489/kartor_geotiff/A 27403-2026 georefererad karta.tif", "A 27403-2026")</f>
        <v/>
      </c>
      <c r="Z17">
        <f>HYPERLINK("https://klasma.github.io/Logging_1489/klagomål/A 27403-2026 FSC-klagomål.docx", "A 27403-2026")</f>
        <v/>
      </c>
      <c r="AA17">
        <f>HYPERLINK("https://klasma.github.io/Logging_1489/klagomålsmail/A 27403-2026 FSC-klagomål mail.docx", "A 27403-2026")</f>
        <v/>
      </c>
      <c r="AB17">
        <f>HYPERLINK("https://klasma.github.io/Logging_1489/tillsyn/A 27403-2026 tillsynsbegäran.docx", "A 27403-2026")</f>
        <v/>
      </c>
      <c r="AC17">
        <f>HYPERLINK("https://klasma.github.io/Logging_1489/tillsynsmail/A 27403-2026 tillsynsbegäran mail.docx", "A 27403-2026")</f>
        <v/>
      </c>
      <c r="AD17">
        <f>HYPERLINK("https://klasma.github.io/Logging_1489/fåglar/A 27403-2026 prioriterade fågelarter.docx", "A 27403-2026")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46223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s="2" t="inlineStr">
        <is>
          <t>Blåmossa
Västlig hakmossa
Spillkråka</t>
        </is>
      </c>
      <c r="V18">
        <f>HYPERLINK("https://klasma.github.io/Logging_1489/artfynd/A 24844-2026 artfynd.xlsx", "A 24844-2026")</f>
        <v/>
      </c>
      <c r="W18">
        <f>HYPERLINK("https://klasma.github.io/Logging_1489/kartor/A 24844-2026 karta.png", "A 24844-2026")</f>
        <v/>
      </c>
      <c r="X18">
        <f>HYPERLINK("https://klasma.github.io/Logging_1489/kartor_geotiff/A 24844-2026 georefererad karta.tif", "A 24844-2026")</f>
        <v/>
      </c>
      <c r="Z18">
        <f>HYPERLINK("https://klasma.github.io/Logging_1489/klagomål/A 24844-2026 FSC-klagomål.docx", "A 24844-2026")</f>
        <v/>
      </c>
      <c r="AA18">
        <f>HYPERLINK("https://klasma.github.io/Logging_1489/klagomålsmail/A 24844-2026 FSC-klagomål mail.docx", "A 24844-2026")</f>
        <v/>
      </c>
      <c r="AB18">
        <f>HYPERLINK("https://klasma.github.io/Logging_1489/tillsyn/A 24844-2026 tillsynsbegäran.docx", "A 24844-2026")</f>
        <v/>
      </c>
      <c r="AC18">
        <f>HYPERLINK("https://klasma.github.io/Logging_1489/tillsynsmail/A 24844-2026 tillsynsbegäran mail.docx", "A 24844-2026")</f>
        <v/>
      </c>
      <c r="AD18">
        <f>HYPERLINK("https://klasma.github.io/Logging_1489/fåglar/A 24844-2026 prioriterade fågelarter.docx", "A 24844-2026")</f>
        <v/>
      </c>
    </row>
    <row r="19" ht="15" customHeight="1">
      <c r="A19" t="inlineStr">
        <is>
          <t>A 4187-2026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46223</v>
      </c>
      <c r="F19" t="inlineStr">
        <is>
          <t>VÄSTRA GÖTALANDS LÄN</t>
        </is>
      </c>
      <c r="G19" t="inlineStr">
        <is>
          <t>ALINGSÅS</t>
        </is>
      </c>
      <c r="I19" t="n">
        <v>5.9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Vågbandad barkbock
Nattskärra</t>
        </is>
      </c>
      <c r="V19">
        <f>HYPERLINK("https://klasma.github.io/Logging_1489/artfynd/A 4187-2026 artfynd.xlsx", "A 4187-2026")</f>
        <v/>
      </c>
      <c r="W19">
        <f>HYPERLINK("https://klasma.github.io/Logging_1489/kartor/A 4187-2026 karta.png", "A 4187-2026")</f>
        <v/>
      </c>
      <c r="X19">
        <f>HYPERLINK("https://klasma.github.io/Logging_1489/kartor_geotiff/A 4187-2026 georefererad karta.tif", "A 4187-2026")</f>
        <v/>
      </c>
      <c r="Z19">
        <f>HYPERLINK("https://klasma.github.io/Logging_1489/klagomål/A 4187-2026 FSC-klagomål.docx", "A 4187-2026")</f>
        <v/>
      </c>
      <c r="AA19">
        <f>HYPERLINK("https://klasma.github.io/Logging_1489/klagomålsmail/A 4187-2026 FSC-klagomål mail.docx", "A 4187-2026")</f>
        <v/>
      </c>
      <c r="AB19">
        <f>HYPERLINK("https://klasma.github.io/Logging_1489/tillsyn/A 4187-2026 tillsynsbegäran.docx", "A 4187-2026")</f>
        <v/>
      </c>
      <c r="AC19">
        <f>HYPERLINK("https://klasma.github.io/Logging_1489/tillsynsmail/A 4187-2026 tillsynsbegäran mail.docx", "A 4187-2026")</f>
        <v/>
      </c>
      <c r="AD19">
        <f>HYPERLINK("https://klasma.github.io/Logging_1489/fåglar/A 4187-2026 prioriterade fågelarter.docx", "A 4187-2026")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46223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s="2" t="inlineStr">
        <is>
          <t>Spillkråka
Revlummer</t>
        </is>
      </c>
      <c r="V20">
        <f>HYPERLINK("https://klasma.github.io/Logging_1489/artfynd/A 64182-2023 artfynd.xlsx", "A 64182-2023")</f>
        <v/>
      </c>
      <c r="W20">
        <f>HYPERLINK("https://klasma.github.io/Logging_1489/kartor/A 64182-2023 karta.png", "A 64182-2023")</f>
        <v/>
      </c>
      <c r="X20">
        <f>HYPERLINK("https://klasma.github.io/Logging_1489/kartor_geotiff/A 64182-2023 georefererad karta.tif", "A 64182-2023")</f>
        <v/>
      </c>
      <c r="Z20">
        <f>HYPERLINK("https://klasma.github.io/Logging_1489/klagomål/A 64182-2023 FSC-klagomål.docx", "A 64182-2023")</f>
        <v/>
      </c>
      <c r="AA20">
        <f>HYPERLINK("https://klasma.github.io/Logging_1489/klagomålsmail/A 64182-2023 FSC-klagomål mail.docx", "A 64182-2023")</f>
        <v/>
      </c>
      <c r="AB20">
        <f>HYPERLINK("https://klasma.github.io/Logging_1489/tillsyn/A 64182-2023 tillsynsbegäran.docx", "A 64182-2023")</f>
        <v/>
      </c>
      <c r="AC20">
        <f>HYPERLINK("https://klasma.github.io/Logging_1489/tillsynsmail/A 64182-2023 tillsynsbegäran mail.docx", "A 64182-2023")</f>
        <v/>
      </c>
      <c r="AD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46223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Spillkråka
Kungsfågel</t>
        </is>
      </c>
      <c r="V21">
        <f>HYPERLINK("https://klasma.github.io/Logging_1489/artfynd/A 57759-2024 artfynd.xlsx", "A 57759-2024")</f>
        <v/>
      </c>
      <c r="W21">
        <f>HYPERLINK("https://klasma.github.io/Logging_1489/kartor/A 57759-2024 karta.png", "A 57759-2024")</f>
        <v/>
      </c>
      <c r="X21">
        <f>HYPERLINK("https://klasma.github.io/Logging_1489/kartor_geotiff/A 57759-2024 georefererad karta.tif", "A 57759-2024")</f>
        <v/>
      </c>
      <c r="Z21">
        <f>HYPERLINK("https://klasma.github.io/Logging_1489/klagomål/A 57759-2024 FSC-klagomål.docx", "A 57759-2024")</f>
        <v/>
      </c>
      <c r="AA21">
        <f>HYPERLINK("https://klasma.github.io/Logging_1489/klagomålsmail/A 57759-2024 FSC-klagomål mail.docx", "A 57759-2024")</f>
        <v/>
      </c>
      <c r="AB21">
        <f>HYPERLINK("https://klasma.github.io/Logging_1489/tillsyn/A 57759-2024 tillsynsbegäran.docx", "A 57759-2024")</f>
        <v/>
      </c>
      <c r="AC21">
        <f>HYPERLINK("https://klasma.github.io/Logging_1489/tillsynsmail/A 57759-2024 tillsynsbegäran mail.docx", "A 57759-2024")</f>
        <v/>
      </c>
      <c r="AD21">
        <f>HYPERLINK("https://klasma.github.io/Logging_1489/fåglar/A 57759-2024 prioriterade fågelarter.docx", "A 57759-2024")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46223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Strandlummer
Större träfjäril</t>
        </is>
      </c>
      <c r="V22">
        <f>HYPERLINK("https://klasma.github.io/Logging_1489/artfynd/A 51909-2024 artfynd.xlsx", "A 51909-2024")</f>
        <v/>
      </c>
      <c r="W22">
        <f>HYPERLINK("https://klasma.github.io/Logging_1489/kartor/A 51909-2024 karta.png", "A 51909-2024")</f>
        <v/>
      </c>
      <c r="X22">
        <f>HYPERLINK("https://klasma.github.io/Logging_1489/kartor_geotiff/A 51909-2024 georefererad karta.tif", "A 51909-2024")</f>
        <v/>
      </c>
      <c r="Z22">
        <f>HYPERLINK("https://klasma.github.io/Logging_1489/klagomål/A 51909-2024 FSC-klagomål.docx", "A 51909-2024")</f>
        <v/>
      </c>
      <c r="AA22">
        <f>HYPERLINK("https://klasma.github.io/Logging_1489/klagomålsmail/A 51909-2024 FSC-klagomål mail.docx", "A 51909-2024")</f>
        <v/>
      </c>
      <c r="AB22">
        <f>HYPERLINK("https://klasma.github.io/Logging_1489/tillsyn/A 51909-2024 tillsynsbegäran.docx", "A 51909-2024")</f>
        <v/>
      </c>
      <c r="AC22">
        <f>HYPERLINK("https://klasma.github.io/Logging_1489/tillsynsmail/A 51909-2024 tillsynsbegäran mail.docx", "A 51909-2024")</f>
        <v/>
      </c>
    </row>
    <row r="23" ht="15" customHeight="1">
      <c r="A23" t="inlineStr">
        <is>
          <t>A 62603-2023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45271</v>
      </c>
      <c r="E23" s="1" t="n">
        <v>46223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Kyrkan</t>
        </is>
      </c>
      <c r="I23" t="n">
        <v>4.9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Duvhök</t>
        </is>
      </c>
      <c r="V23">
        <f>HYPERLINK("https://klasma.github.io/Logging_1489/artfynd/A 62603-2023 artfynd.xlsx", "A 62603-2023")</f>
        <v/>
      </c>
      <c r="W23">
        <f>HYPERLINK("https://klasma.github.io/Logging_1489/kartor/A 62603-2023 karta.png", "A 62603-2023")</f>
        <v/>
      </c>
      <c r="X23">
        <f>HYPERLINK("https://klasma.github.io/Logging_1489/kartor_geotiff/A 62603-2023 georefererad karta.tif", "A 62603-2023")</f>
        <v/>
      </c>
      <c r="Z23">
        <f>HYPERLINK("https://klasma.github.io/Logging_1489/klagomål/A 62603-2023 FSC-klagomål.docx", "A 62603-2023")</f>
        <v/>
      </c>
      <c r="AA23">
        <f>HYPERLINK("https://klasma.github.io/Logging_1489/klagomålsmail/A 62603-2023 FSC-klagomål mail.docx", "A 62603-2023")</f>
        <v/>
      </c>
      <c r="AB23">
        <f>HYPERLINK("https://klasma.github.io/Logging_1489/tillsyn/A 62603-2023 tillsynsbegäran.docx", "A 62603-2023")</f>
        <v/>
      </c>
      <c r="AC23">
        <f>HYPERLINK("https://klasma.github.io/Logging_1489/tillsynsmail/A 62603-2023 tillsynsbegäran mail.docx", "A 62603-2023")</f>
        <v/>
      </c>
      <c r="AD23">
        <f>HYPERLINK("https://klasma.github.io/Logging_1489/fåglar/A 62603-2023 prioriterade fågelarter.docx", "A 62603-2023")</f>
        <v/>
      </c>
    </row>
    <row r="24" ht="15" customHeight="1">
      <c r="A24" t="inlineStr">
        <is>
          <t>A 51927-2024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45607</v>
      </c>
      <c r="E24" s="1" t="n">
        <v>46223</v>
      </c>
      <c r="F24" t="inlineStr">
        <is>
          <t>VÄSTRA GÖTALANDS LÄN</t>
        </is>
      </c>
      <c r="G24" t="inlineStr">
        <is>
          <t>ALINGSÅS</t>
        </is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Strandlummer</t>
        </is>
      </c>
      <c r="V24">
        <f>HYPERLINK("https://klasma.github.io/Logging_1489/artfynd/A 51927-2024 artfynd.xlsx", "A 51927-2024")</f>
        <v/>
      </c>
      <c r="W24">
        <f>HYPERLINK("https://klasma.github.io/Logging_1489/kartor/A 51927-2024 karta.png", "A 51927-2024")</f>
        <v/>
      </c>
      <c r="X24">
        <f>HYPERLINK("https://klasma.github.io/Logging_1489/kartor_geotiff/A 51927-2024 georefererad karta.tif", "A 51927-2024")</f>
        <v/>
      </c>
      <c r="Z24">
        <f>HYPERLINK("https://klasma.github.io/Logging_1489/klagomål/A 51927-2024 FSC-klagomål.docx", "A 51927-2024")</f>
        <v/>
      </c>
      <c r="AA24">
        <f>HYPERLINK("https://klasma.github.io/Logging_1489/klagomålsmail/A 51927-2024 FSC-klagomål mail.docx", "A 51927-2024")</f>
        <v/>
      </c>
      <c r="AB24">
        <f>HYPERLINK("https://klasma.github.io/Logging_1489/tillsyn/A 51927-2024 tillsynsbegäran.docx", "A 51927-2024")</f>
        <v/>
      </c>
      <c r="AC24">
        <f>HYPERLINK("https://klasma.github.io/Logging_1489/tillsynsmail/A 51927-2024 tillsynsbegäran mail.docx", "A 51927-2024")</f>
        <v/>
      </c>
    </row>
    <row r="25" ht="15" customHeight="1">
      <c r="A25" t="inlineStr">
        <is>
          <t>A 10542-2024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45366</v>
      </c>
      <c r="E25" s="1" t="n">
        <v>46223</v>
      </c>
      <c r="F25" t="inlineStr">
        <is>
          <t>VÄSTRA GÖTALANDS LÄN</t>
        </is>
      </c>
      <c r="G25" t="inlineStr">
        <is>
          <t>ALINGSÅS</t>
        </is>
      </c>
      <c r="I25" t="n">
        <v>2.6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Blodticka</t>
        </is>
      </c>
      <c r="V25">
        <f>HYPERLINK("https://klasma.github.io/Logging_1489/artfynd/A 10542-2024 artfynd.xlsx", "A 10542-2024")</f>
        <v/>
      </c>
      <c r="W25">
        <f>HYPERLINK("https://klasma.github.io/Logging_1489/kartor/A 10542-2024 karta.png", "A 10542-2024")</f>
        <v/>
      </c>
      <c r="X25">
        <f>HYPERLINK("https://klasma.github.io/Logging_1489/kartor_geotiff/A 10542-2024 georefererad karta.tif", "A 10542-2024")</f>
        <v/>
      </c>
      <c r="Z25">
        <f>HYPERLINK("https://klasma.github.io/Logging_1489/klagomål/A 10542-2024 FSC-klagomål.docx", "A 10542-2024")</f>
        <v/>
      </c>
      <c r="AA25">
        <f>HYPERLINK("https://klasma.github.io/Logging_1489/klagomålsmail/A 10542-2024 FSC-klagomål mail.docx", "A 10542-2024")</f>
        <v/>
      </c>
      <c r="AB25">
        <f>HYPERLINK("https://klasma.github.io/Logging_1489/tillsyn/A 10542-2024 tillsynsbegäran.docx", "A 10542-2024")</f>
        <v/>
      </c>
      <c r="AC25">
        <f>HYPERLINK("https://klasma.github.io/Logging_1489/tillsynsmail/A 10542-2024 tillsynsbegäran mail.docx", "A 10542-2024")</f>
        <v/>
      </c>
    </row>
    <row r="26" ht="15" customHeight="1">
      <c r="A26" t="inlineStr">
        <is>
          <t>A 4205-2026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46044</v>
      </c>
      <c r="E26" s="1" t="n">
        <v>46223</v>
      </c>
      <c r="F26" t="inlineStr">
        <is>
          <t>VÄSTRA GÖTALANDS LÄN</t>
        </is>
      </c>
      <c r="G26" t="inlineStr">
        <is>
          <t>ALINGSÅS</t>
        </is>
      </c>
      <c r="I26" t="n">
        <v>5.8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HYPERLINK("https://klasma.github.io/Logging_1489/artfynd/A 4205-2026 artfynd.xlsx", "A 4205-2026")</f>
        <v/>
      </c>
      <c r="W26">
        <f>HYPERLINK("https://klasma.github.io/Logging_1489/kartor/A 4205-2026 karta.png", "A 4205-2026")</f>
        <v/>
      </c>
      <c r="X26">
        <f>HYPERLINK("https://klasma.github.io/Logging_1489/kartor_geotiff/A 4205-2026 georefererad karta.tif", "A 4205-2026")</f>
        <v/>
      </c>
      <c r="Z26">
        <f>HYPERLINK("https://klasma.github.io/Logging_1489/klagomål/A 4205-2026 FSC-klagomål.docx", "A 4205-2026")</f>
        <v/>
      </c>
      <c r="AA26">
        <f>HYPERLINK("https://klasma.github.io/Logging_1489/klagomålsmail/A 4205-2026 FSC-klagomål mail.docx", "A 4205-2026")</f>
        <v/>
      </c>
      <c r="AB26">
        <f>HYPERLINK("https://klasma.github.io/Logging_1489/tillsyn/A 4205-2026 tillsynsbegäran.docx", "A 4205-2026")</f>
        <v/>
      </c>
      <c r="AC26">
        <f>HYPERLINK("https://klasma.github.io/Logging_1489/tillsynsmail/A 4205-2026 tillsynsbegäran mail.docx", "A 4205-2026")</f>
        <v/>
      </c>
      <c r="AD26">
        <f>HYPERLINK("https://klasma.github.io/Logging_1489/fåglar/A 4205-2026 prioriterade fågelarter.docx", "A 4205-2026")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46223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s="2" t="inlineStr">
        <is>
          <t>Knärot</t>
        </is>
      </c>
      <c r="V27">
        <f>HYPERLINK("https://klasma.github.io/Logging_1489/artfynd/A 39240-2025 artfynd.xlsx", "A 39240-2025")</f>
        <v/>
      </c>
      <c r="W27">
        <f>HYPERLINK("https://klasma.github.io/Logging_1489/kartor/A 39240-2025 karta.png", "A 39240-2025")</f>
        <v/>
      </c>
      <c r="X27">
        <f>HYPERLINK("https://klasma.github.io/Logging_1489/kartor_geotiff/A 39240-2025 georefererad karta.tif", "A 39240-2025")</f>
        <v/>
      </c>
      <c r="Y27">
        <f>HYPERLINK("https://klasma.github.io/Logging_1489/knärot/A 39240-2025 karta knärot.png", "A 39240-2025")</f>
        <v/>
      </c>
      <c r="Z27">
        <f>HYPERLINK("https://klasma.github.io/Logging_1489/klagomål/A 39240-2025 FSC-klagomål.docx", "A 39240-2025")</f>
        <v/>
      </c>
      <c r="AA27">
        <f>HYPERLINK("https://klasma.github.io/Logging_1489/klagomålsmail/A 39240-2025 FSC-klagomål mail.docx", "A 39240-2025")</f>
        <v/>
      </c>
      <c r="AB27">
        <f>HYPERLINK("https://klasma.github.io/Logging_1489/tillsyn/A 39240-2025 tillsynsbegäran.docx", "A 39240-2025")</f>
        <v/>
      </c>
      <c r="AC27">
        <f>HYPERLINK("https://klasma.github.io/Logging_1489/tillsynsmail/A 39240-2025 tillsynsbegäran mail.docx", "A 39240-2025")</f>
        <v/>
      </c>
    </row>
    <row r="28" ht="15" customHeight="1">
      <c r="A28" t="inlineStr">
        <is>
          <t>A 29313-2024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45483</v>
      </c>
      <c r="E28" s="1" t="n">
        <v>46223</v>
      </c>
      <c r="F28" t="inlineStr">
        <is>
          <t>VÄSTRA GÖTALANDS LÄN</t>
        </is>
      </c>
      <c r="G28" t="inlineStr">
        <is>
          <t>ALINGSÅS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s="2" t="inlineStr">
        <is>
          <t>Revlummer</t>
        </is>
      </c>
      <c r="V28">
        <f>HYPERLINK("https://klasma.github.io/Logging_1489/artfynd/A 29313-2024 artfynd.xlsx", "A 29313-2024")</f>
        <v/>
      </c>
      <c r="W28">
        <f>HYPERLINK("https://klasma.github.io/Logging_1489/kartor/A 29313-2024 karta.png", "A 29313-2024")</f>
        <v/>
      </c>
      <c r="X28">
        <f>HYPERLINK("https://klasma.github.io/Logging_1489/kartor_geotiff/A 29313-2024 georefererad karta.tif", "A 29313-2024")</f>
        <v/>
      </c>
      <c r="Z28">
        <f>HYPERLINK("https://klasma.github.io/Logging_1489/klagomål/A 29313-2024 FSC-klagomål.docx", "A 29313-2024")</f>
        <v/>
      </c>
      <c r="AA28">
        <f>HYPERLINK("https://klasma.github.io/Logging_1489/klagomålsmail/A 29313-2024 FSC-klagomål mail.docx", "A 29313-2024")</f>
        <v/>
      </c>
      <c r="AB28">
        <f>HYPERLINK("https://klasma.github.io/Logging_1489/tillsyn/A 29313-2024 tillsynsbegäran.docx", "A 29313-2024")</f>
        <v/>
      </c>
      <c r="AC28">
        <f>HYPERLINK("https://klasma.github.io/Logging_1489/tillsynsmail/A 29313-2024 tillsynsbegäran mail.docx", "A 29313-2024")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46223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HYPERLINK("https://klasma.github.io/Logging_1489/artfynd/A 27283-2025 artfynd.xlsx", "A 27283-2025")</f>
        <v/>
      </c>
      <c r="W29">
        <f>HYPERLINK("https://klasma.github.io/Logging_1489/kartor/A 27283-2025 karta.png", "A 27283-2025")</f>
        <v/>
      </c>
      <c r="X29">
        <f>HYPERLINK("https://klasma.github.io/Logging_1489/kartor_geotiff/A 27283-2025 georefererad karta.tif", "A 27283-2025")</f>
        <v/>
      </c>
      <c r="Z29">
        <f>HYPERLINK("https://klasma.github.io/Logging_1489/klagomål/A 27283-2025 FSC-klagomål.docx", "A 27283-2025")</f>
        <v/>
      </c>
      <c r="AA29">
        <f>HYPERLINK("https://klasma.github.io/Logging_1489/klagomålsmail/A 27283-2025 FSC-klagomål mail.docx", "A 27283-2025")</f>
        <v/>
      </c>
      <c r="AB29">
        <f>HYPERLINK("https://klasma.github.io/Logging_1489/tillsyn/A 27283-2025 tillsynsbegäran.docx", "A 27283-2025")</f>
        <v/>
      </c>
      <c r="AC29">
        <f>HYPERLINK("https://klasma.github.io/Logging_1489/tillsynsmail/A 27283-2025 tillsynsbegäran mail.docx", "A 27283-2025")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46223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Skogshare</t>
        </is>
      </c>
      <c r="V30">
        <f>HYPERLINK("https://klasma.github.io/Logging_1489/artfynd/A 15986-2026 artfynd.xlsx", "A 15986-2026")</f>
        <v/>
      </c>
      <c r="W30">
        <f>HYPERLINK("https://klasma.github.io/Logging_1489/kartor/A 15986-2026 karta.png", "A 15986-2026")</f>
        <v/>
      </c>
      <c r="X30">
        <f>HYPERLINK("https://klasma.github.io/Logging_1489/kartor_geotiff/A 15986-2026 georefererad karta.tif", "A 15986-2026")</f>
        <v/>
      </c>
      <c r="Z30">
        <f>HYPERLINK("https://klasma.github.io/Logging_1489/klagomål/A 15986-2026 FSC-klagomål.docx", "A 15986-2026")</f>
        <v/>
      </c>
      <c r="AA30">
        <f>HYPERLINK("https://klasma.github.io/Logging_1489/klagomålsmail/A 15986-2026 FSC-klagomål mail.docx", "A 15986-2026")</f>
        <v/>
      </c>
      <c r="AB30">
        <f>HYPERLINK("https://klasma.github.io/Logging_1489/tillsyn/A 15986-2026 tillsynsbegäran.docx", "A 15986-2026")</f>
        <v/>
      </c>
      <c r="AC30">
        <f>HYPERLINK("https://klasma.github.io/Logging_1489/tillsynsmail/A 15986-2026 tillsynsbegäran mail.docx", "A 15986-2026")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46223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Strandlummer</t>
        </is>
      </c>
      <c r="V31">
        <f>HYPERLINK("https://klasma.github.io/Logging_1489/artfynd/A 37537-2024 artfynd.xlsx", "A 37537-2024")</f>
        <v/>
      </c>
      <c r="W31">
        <f>HYPERLINK("https://klasma.github.io/Logging_1489/kartor/A 37537-2024 karta.png", "A 37537-2024")</f>
        <v/>
      </c>
      <c r="X31">
        <f>HYPERLINK("https://klasma.github.io/Logging_1489/kartor_geotiff/A 37537-2024 georefererad karta.tif", "A 37537-2024")</f>
        <v/>
      </c>
      <c r="Z31">
        <f>HYPERLINK("https://klasma.github.io/Logging_1489/klagomål/A 37537-2024 FSC-klagomål.docx", "A 37537-2024")</f>
        <v/>
      </c>
      <c r="AA31">
        <f>HYPERLINK("https://klasma.github.io/Logging_1489/klagomålsmail/A 37537-2024 FSC-klagomål mail.docx", "A 37537-2024")</f>
        <v/>
      </c>
      <c r="AB31">
        <f>HYPERLINK("https://klasma.github.io/Logging_1489/tillsyn/A 37537-2024 tillsynsbegäran.docx", "A 37537-2024")</f>
        <v/>
      </c>
      <c r="AC31">
        <f>HYPERLINK("https://klasma.github.io/Logging_1489/tillsynsmail/A 37537-2024 tillsynsbegäran mail.docx", "A 37537-2024")</f>
        <v/>
      </c>
    </row>
    <row r="32" ht="15" customHeight="1">
      <c r="A32" t="inlineStr">
        <is>
          <t>A 5383-2024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46223</v>
      </c>
      <c r="F32" t="inlineStr">
        <is>
          <t>VÄSTRA GÖTALANDS LÄN</t>
        </is>
      </c>
      <c r="G32" t="inlineStr">
        <is>
          <t>ALINGSÅS</t>
        </is>
      </c>
      <c r="H32" t="inlineStr">
        <is>
          <t>Övriga Aktiebolag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6</v>
      </c>
      <c r="U32" s="2" t="inlineStr">
        <is>
          <t>Ask</t>
        </is>
      </c>
      <c r="V32">
        <f>HYPERLINK("https://klasma.github.io/Logging_1489/artfynd/A 5383-2024 artfynd.xlsx", "A 5383-2024")</f>
        <v/>
      </c>
      <c r="W32">
        <f>HYPERLINK("https://klasma.github.io/Logging_1489/kartor/A 5383-2024 karta.png", "A 5383-2024")</f>
        <v/>
      </c>
      <c r="X32">
        <f>HYPERLINK("https://klasma.github.io/Logging_1489/kartor_geotiff/A 5383-2024 georefererad karta.tif", "A 5383-2024")</f>
        <v/>
      </c>
      <c r="Z32">
        <f>HYPERLINK("https://klasma.github.io/Logging_1489/klagomål/A 5383-2024 FSC-klagomål.docx", "A 5383-2024")</f>
        <v/>
      </c>
      <c r="AA32">
        <f>HYPERLINK("https://klasma.github.io/Logging_1489/klagomålsmail/A 5383-2024 FSC-klagomål mail.docx", "A 5383-2024")</f>
        <v/>
      </c>
      <c r="AB32">
        <f>HYPERLINK("https://klasma.github.io/Logging_1489/tillsyn/A 5383-2024 tillsynsbegäran.docx", "A 5383-2024")</f>
        <v/>
      </c>
      <c r="AC32">
        <f>HYPERLINK("https://klasma.github.io/Logging_1489/tillsynsmail/A 5383-2024 tillsynsbegäran mail.docx", "A 5383-2024")</f>
        <v/>
      </c>
    </row>
    <row r="33" ht="15" customHeight="1">
      <c r="A33" t="inlineStr">
        <is>
          <t>A 59881-2024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45640</v>
      </c>
      <c r="E33" s="1" t="n">
        <v>46223</v>
      </c>
      <c r="F33" t="inlineStr">
        <is>
          <t>VÄSTRA GÖTALANDS LÄN</t>
        </is>
      </c>
      <c r="G33" t="inlineStr">
        <is>
          <t>ALINGSÅS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Hasselmus</t>
        </is>
      </c>
      <c r="V33">
        <f>HYPERLINK("https://klasma.github.io/Logging_1489/artfynd/A 59881-2024 artfynd.xlsx", "A 59881-2024")</f>
        <v/>
      </c>
      <c r="W33">
        <f>HYPERLINK("https://klasma.github.io/Logging_1489/kartor/A 59881-2024 karta.png", "A 59881-2024")</f>
        <v/>
      </c>
      <c r="X33">
        <f>HYPERLINK("https://klasma.github.io/Logging_1489/kartor_geotiff/A 59881-2024 georefererad karta.tif", "A 59881-2024")</f>
        <v/>
      </c>
      <c r="Z33">
        <f>HYPERLINK("https://klasma.github.io/Logging_1489/klagomål/A 59881-2024 FSC-klagomål.docx", "A 59881-2024")</f>
        <v/>
      </c>
      <c r="AA33">
        <f>HYPERLINK("https://klasma.github.io/Logging_1489/klagomålsmail/A 59881-2024 FSC-klagomål mail.docx", "A 59881-2024")</f>
        <v/>
      </c>
      <c r="AB33">
        <f>HYPERLINK("https://klasma.github.io/Logging_1489/tillsyn/A 59881-2024 tillsynsbegäran.docx", "A 59881-2024")</f>
        <v/>
      </c>
      <c r="AC33">
        <f>HYPERLINK("https://klasma.github.io/Logging_1489/tillsynsmail/A 59881-2024 tillsynsbegäran mail.docx", "A 59881-2024")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46223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46223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46223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46223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46223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46223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46223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46223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46223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46223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46223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46223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46223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46223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46223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46223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46223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46223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46223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46223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46223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46223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46223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46223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46223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46223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46223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23129-2022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44719</v>
      </c>
      <c r="E61" s="1" t="n">
        <v>46223</v>
      </c>
      <c r="F61" t="inlineStr">
        <is>
          <t>VÄSTRA GÖTALANDS LÄN</t>
        </is>
      </c>
      <c r="G61" t="inlineStr">
        <is>
          <t>ALINGSÅS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46223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46223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46223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12322-2024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46223</v>
      </c>
      <c r="F65" t="inlineStr">
        <is>
          <t>VÄSTRA GÖTALANDS LÄN</t>
        </is>
      </c>
      <c r="G65" t="inlineStr">
        <is>
          <t>ALINGSÅS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16117-2024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46223</v>
      </c>
      <c r="F66" t="inlineStr">
        <is>
          <t>VÄSTRA GÖTALANDS LÄN</t>
        </is>
      </c>
      <c r="G66" t="inlineStr">
        <is>
          <t>ALINGSÅS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46223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42865-2022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46223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46883-2021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44446</v>
      </c>
      <c r="E69" s="1" t="n">
        <v>46223</v>
      </c>
      <c r="F69" t="inlineStr">
        <is>
          <t>VÄSTRA GÖTALANDS LÄN</t>
        </is>
      </c>
      <c r="G69" t="inlineStr">
        <is>
          <t>ALINGSÅS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15006-2024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46223</v>
      </c>
      <c r="F70" t="inlineStr">
        <is>
          <t>VÄSTRA GÖTALANDS LÄN</t>
        </is>
      </c>
      <c r="G70" t="inlineStr">
        <is>
          <t>ALINGSÅS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47960-2022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46223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12600-2024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45380</v>
      </c>
      <c r="E72" s="1" t="n">
        <v>46223</v>
      </c>
      <c r="F72" t="inlineStr">
        <is>
          <t>VÄSTRA GÖTALANDS LÄN</t>
        </is>
      </c>
      <c r="G72" t="inlineStr">
        <is>
          <t>ALINGSÅS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59925-2023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45257</v>
      </c>
      <c r="E73" s="1" t="n">
        <v>46223</v>
      </c>
      <c r="F73" t="inlineStr">
        <is>
          <t>VÄSTRA GÖTALANDS LÄN</t>
        </is>
      </c>
      <c r="G73" t="inlineStr">
        <is>
          <t>ALINGSÅS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46491-2021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44445</v>
      </c>
      <c r="E74" s="1" t="n">
        <v>46223</v>
      </c>
      <c r="F74" t="inlineStr">
        <is>
          <t>VÄSTRA GÖTALANDS LÄN</t>
        </is>
      </c>
      <c r="G74" t="inlineStr">
        <is>
          <t>ALINGSÅS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58990-2022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46223</v>
      </c>
      <c r="F75" t="inlineStr">
        <is>
          <t>VÄSTRA GÖTALANDS LÄN</t>
        </is>
      </c>
      <c r="G75" t="inlineStr">
        <is>
          <t>ALINGSÅS</t>
        </is>
      </c>
      <c r="H75" t="inlineStr">
        <is>
          <t>Kyrkan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26164-2024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46223</v>
      </c>
      <c r="F76" t="inlineStr">
        <is>
          <t>VÄSTRA GÖTALANDS LÄN</t>
        </is>
      </c>
      <c r="G76" t="inlineStr">
        <is>
          <t>ALINGSÅS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57489-2022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44896</v>
      </c>
      <c r="E77" s="1" t="n">
        <v>46223</v>
      </c>
      <c r="F77" t="inlineStr">
        <is>
          <t>VÄSTRA GÖTALANDS LÄN</t>
        </is>
      </c>
      <c r="G77" t="inlineStr">
        <is>
          <t>ALINGSÅS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44957</v>
      </c>
      <c r="E78" s="1" t="n">
        <v>46223</v>
      </c>
      <c r="F78" t="inlineStr">
        <is>
          <t>VÄSTRA GÖTALANDS LÄN</t>
        </is>
      </c>
      <c r="G78" t="inlineStr">
        <is>
          <t>ALINGSÅS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45271</v>
      </c>
      <c r="E79" s="1" t="n">
        <v>46223</v>
      </c>
      <c r="F79" t="inlineStr">
        <is>
          <t>VÄSTRA GÖTALANDS LÄN</t>
        </is>
      </c>
      <c r="G79" t="inlineStr">
        <is>
          <t>ALINGSÅS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25744-2024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45465</v>
      </c>
      <c r="E80" s="1" t="n">
        <v>46223</v>
      </c>
      <c r="F80" t="inlineStr">
        <is>
          <t>VÄSTRA GÖTALANDS LÄN</t>
        </is>
      </c>
      <c r="G80" t="inlineStr">
        <is>
          <t>ALINGSÅS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25748-2024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46223</v>
      </c>
      <c r="F81" t="inlineStr">
        <is>
          <t>VÄSTRA GÖTALANDS LÄN</t>
        </is>
      </c>
      <c r="G81" t="inlineStr">
        <is>
          <t>ALINGSÅS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25743-2024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46223</v>
      </c>
      <c r="F82" t="inlineStr">
        <is>
          <t>VÄSTRA GÖTALANDS LÄN</t>
        </is>
      </c>
      <c r="G82" t="inlineStr">
        <is>
          <t>ALINGSÅS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56752-2023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46223</v>
      </c>
      <c r="F83" t="inlineStr">
        <is>
          <t>VÄSTRA GÖTALANDS LÄN</t>
        </is>
      </c>
      <c r="G83" t="inlineStr">
        <is>
          <t>ALINGSÅS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25749-2024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46223</v>
      </c>
      <c r="F84" t="inlineStr">
        <is>
          <t>VÄSTRA GÖTALANDS LÄN</t>
        </is>
      </c>
      <c r="G84" t="inlineStr">
        <is>
          <t>ALINGSÅS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46223</v>
      </c>
      <c r="F85" t="inlineStr">
        <is>
          <t>VÄSTRA GÖTALANDS LÄN</t>
        </is>
      </c>
      <c r="G85" t="inlineStr">
        <is>
          <t>ALINGSÅS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45322-2024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45576</v>
      </c>
      <c r="E86" s="1" t="n">
        <v>46223</v>
      </c>
      <c r="F86" t="inlineStr">
        <is>
          <t>VÄSTRA GÖTALANDS LÄN</t>
        </is>
      </c>
      <c r="G86" t="inlineStr">
        <is>
          <t>ALINGSÅS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25896-2025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46223</v>
      </c>
      <c r="F87" t="inlineStr">
        <is>
          <t>VÄSTRA GÖTALANDS LÄN</t>
        </is>
      </c>
      <c r="G87" t="inlineStr">
        <is>
          <t>ALINGSÅS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46038</v>
      </c>
      <c r="E88" s="1" t="n">
        <v>46223</v>
      </c>
      <c r="F88" t="inlineStr">
        <is>
          <t>VÄSTRA GÖTALANDS LÄN</t>
        </is>
      </c>
      <c r="G88" t="inlineStr">
        <is>
          <t>ALINGSÅS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2253-2026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46031</v>
      </c>
      <c r="E89" s="1" t="n">
        <v>46223</v>
      </c>
      <c r="F89" t="inlineStr">
        <is>
          <t>VÄSTRA GÖTALANDS LÄN</t>
        </is>
      </c>
      <c r="G89" t="inlineStr">
        <is>
          <t>ALINGSÅS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26096-2025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46223</v>
      </c>
      <c r="F90" t="inlineStr">
        <is>
          <t>VÄSTRA GÖTALANDS LÄN</t>
        </is>
      </c>
      <c r="G90" t="inlineStr">
        <is>
          <t>ALINGSÅS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45329</v>
      </c>
      <c r="E91" s="1" t="n">
        <v>46223</v>
      </c>
      <c r="F91" t="inlineStr">
        <is>
          <t>VÄSTRA GÖTALANDS LÄN</t>
        </is>
      </c>
      <c r="G91" t="inlineStr">
        <is>
          <t>ALINGSÅS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46223</v>
      </c>
      <c r="F92" t="inlineStr">
        <is>
          <t>VÄSTRA GÖTALANDS LÄN</t>
        </is>
      </c>
      <c r="G92" t="inlineStr">
        <is>
          <t>ALINGSÅS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6120-2023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44964</v>
      </c>
      <c r="E93" s="1" t="n">
        <v>46223</v>
      </c>
      <c r="F93" t="inlineStr">
        <is>
          <t>VÄSTRA GÖTALANDS LÄN</t>
        </is>
      </c>
      <c r="G93" t="inlineStr">
        <is>
          <t>ALINGSÅS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54579-2024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45617</v>
      </c>
      <c r="E94" s="1" t="n">
        <v>46223</v>
      </c>
      <c r="F94" t="inlineStr">
        <is>
          <t>VÄSTRA GÖTALANDS LÄN</t>
        </is>
      </c>
      <c r="G94" t="inlineStr">
        <is>
          <t>ALINGSÅS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12968-2025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45734</v>
      </c>
      <c r="E95" s="1" t="n">
        <v>46223</v>
      </c>
      <c r="F95" t="inlineStr">
        <is>
          <t>VÄSTRA GÖTALANDS LÄN</t>
        </is>
      </c>
      <c r="G95" t="inlineStr">
        <is>
          <t>ALINGSÅS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3048-2026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46038</v>
      </c>
      <c r="E96" s="1" t="n">
        <v>46223</v>
      </c>
      <c r="F96" t="inlineStr">
        <is>
          <t>VÄSTRA GÖTALANDS LÄN</t>
        </is>
      </c>
      <c r="G96" t="inlineStr">
        <is>
          <t>ALINGSÅS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12276-2024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45378</v>
      </c>
      <c r="E97" s="1" t="n">
        <v>46223</v>
      </c>
      <c r="F97" t="inlineStr">
        <is>
          <t>VÄSTRA GÖTALANDS LÄN</t>
        </is>
      </c>
      <c r="G97" t="inlineStr">
        <is>
          <t>ALINGSÅS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4203-2026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46223</v>
      </c>
      <c r="F98" t="inlineStr">
        <is>
          <t>VÄSTRA GÖTALANDS LÄN</t>
        </is>
      </c>
      <c r="G98" t="inlineStr">
        <is>
          <t>ALINGSÅS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27202-2025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45812</v>
      </c>
      <c r="E99" s="1" t="n">
        <v>46223</v>
      </c>
      <c r="F99" t="inlineStr">
        <is>
          <t>VÄSTRA GÖTALANDS LÄN</t>
        </is>
      </c>
      <c r="G99" t="inlineStr">
        <is>
          <t>ALINGSÅS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9181-2022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46223</v>
      </c>
      <c r="F100" t="inlineStr">
        <is>
          <t>VÄSTRA GÖTALANDS LÄN</t>
        </is>
      </c>
      <c r="G100" t="inlineStr">
        <is>
          <t>ALINGSÅS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28168-2025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45818</v>
      </c>
      <c r="E101" s="1" t="n">
        <v>46223</v>
      </c>
      <c r="F101" t="inlineStr">
        <is>
          <t>VÄSTRA GÖTALANDS LÄN</t>
        </is>
      </c>
      <c r="G101" t="inlineStr">
        <is>
          <t>ALINGSÅS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43741-2024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45569</v>
      </c>
      <c r="E102" s="1" t="n">
        <v>46223</v>
      </c>
      <c r="F102" t="inlineStr">
        <is>
          <t>VÄSTRA GÖTALANDS LÄN</t>
        </is>
      </c>
      <c r="G102" t="inlineStr">
        <is>
          <t>ALINGSÅS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21328-2025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46223</v>
      </c>
      <c r="F103" t="inlineStr">
        <is>
          <t>VÄSTRA GÖTALANDS LÄN</t>
        </is>
      </c>
      <c r="G103" t="inlineStr">
        <is>
          <t>ALINGSÅS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43435-2024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45568</v>
      </c>
      <c r="E104" s="1" t="n">
        <v>46223</v>
      </c>
      <c r="F104" t="inlineStr">
        <is>
          <t>VÄSTRA GÖTALANDS LÄN</t>
        </is>
      </c>
      <c r="G104" t="inlineStr">
        <is>
          <t>ALINGSÅS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40242-2025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46223</v>
      </c>
      <c r="F105" t="inlineStr">
        <is>
          <t>VÄSTRA GÖTALANDS LÄN</t>
        </is>
      </c>
      <c r="G105" t="inlineStr">
        <is>
          <t>ALINGSÅS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10587-2025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46223</v>
      </c>
      <c r="F106" t="inlineStr">
        <is>
          <t>VÄSTRA GÖTALANDS LÄN</t>
        </is>
      </c>
      <c r="G106" t="inlineStr">
        <is>
          <t>ALINGSÅS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58410-2024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45634</v>
      </c>
      <c r="E107" s="1" t="n">
        <v>46223</v>
      </c>
      <c r="F107" t="inlineStr">
        <is>
          <t>VÄSTRA GÖTALANDS LÄN</t>
        </is>
      </c>
      <c r="G107" t="inlineStr">
        <is>
          <t>ALINGSÅS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11388-2025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46223</v>
      </c>
      <c r="F108" t="inlineStr">
        <is>
          <t>VÄSTRA GÖTALANDS LÄN</t>
        </is>
      </c>
      <c r="G108" t="inlineStr">
        <is>
          <t>ALINGSÅS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10541-2025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45721</v>
      </c>
      <c r="E109" s="1" t="n">
        <v>46223</v>
      </c>
      <c r="F109" t="inlineStr">
        <is>
          <t>VÄSTRA GÖTALANDS LÄN</t>
        </is>
      </c>
      <c r="G109" t="inlineStr">
        <is>
          <t>ALINGSÅS</t>
        </is>
      </c>
      <c r="H109" t="inlineStr">
        <is>
          <t>Kyrkan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9851-2025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45716</v>
      </c>
      <c r="E110" s="1" t="n">
        <v>46223</v>
      </c>
      <c r="F110" t="inlineStr">
        <is>
          <t>VÄSTRA GÖTALANDS LÄN</t>
        </is>
      </c>
      <c r="G110" t="inlineStr">
        <is>
          <t>ALINGSÅS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11462-2025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45726</v>
      </c>
      <c r="E111" s="1" t="n">
        <v>46223</v>
      </c>
      <c r="F111" t="inlineStr">
        <is>
          <t>VÄSTRA GÖTALANDS LÄN</t>
        </is>
      </c>
      <c r="G111" t="inlineStr">
        <is>
          <t>ALINGSÅS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11459-2025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45726</v>
      </c>
      <c r="E112" s="1" t="n">
        <v>46223</v>
      </c>
      <c r="F112" t="inlineStr">
        <is>
          <t>VÄSTRA GÖTALANDS LÄN</t>
        </is>
      </c>
      <c r="G112" t="inlineStr">
        <is>
          <t>ALINGSÅS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11458-2025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45726</v>
      </c>
      <c r="E113" s="1" t="n">
        <v>46223</v>
      </c>
      <c r="F113" t="inlineStr">
        <is>
          <t>VÄSTRA GÖTALANDS LÄN</t>
        </is>
      </c>
      <c r="G113" t="inlineStr">
        <is>
          <t>ALINGSÅS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45894</v>
      </c>
      <c r="E114" s="1" t="n">
        <v>46223</v>
      </c>
      <c r="F114" t="inlineStr">
        <is>
          <t>VÄSTRA GÖTALANDS LÄN</t>
        </is>
      </c>
      <c r="G114" t="inlineStr">
        <is>
          <t>ALINGSÅS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41454-2025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46223</v>
      </c>
      <c r="F115" t="inlineStr">
        <is>
          <t>VÄSTRA GÖTALANDS LÄN</t>
        </is>
      </c>
      <c r="G115" t="inlineStr">
        <is>
          <t>ALINGSÅS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41452-2025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45901</v>
      </c>
      <c r="E116" s="1" t="n">
        <v>46223</v>
      </c>
      <c r="F116" t="inlineStr">
        <is>
          <t>VÄSTRA GÖTALANDS LÄN</t>
        </is>
      </c>
      <c r="G116" t="inlineStr">
        <is>
          <t>ALINGSÅS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53628-2023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45230</v>
      </c>
      <c r="E117" s="1" t="n">
        <v>46223</v>
      </c>
      <c r="F117" t="inlineStr">
        <is>
          <t>VÄSTRA GÖTALANDS LÄN</t>
        </is>
      </c>
      <c r="G117" t="inlineStr">
        <is>
          <t>ALINGSÅS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12318-2022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44637</v>
      </c>
      <c r="E118" s="1" t="n">
        <v>46223</v>
      </c>
      <c r="F118" t="inlineStr">
        <is>
          <t>VÄSTRA GÖTALANDS LÄN</t>
        </is>
      </c>
      <c r="G118" t="inlineStr">
        <is>
          <t>ALINGSÅS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42672-2025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45908</v>
      </c>
      <c r="E119" s="1" t="n">
        <v>46223</v>
      </c>
      <c r="F119" t="inlineStr">
        <is>
          <t>VÄSTRA GÖTALANDS LÄN</t>
        </is>
      </c>
      <c r="G119" t="inlineStr">
        <is>
          <t>ALINGSÅS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42711-2025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45908</v>
      </c>
      <c r="E120" s="1" t="n">
        <v>46223</v>
      </c>
      <c r="F120" t="inlineStr">
        <is>
          <t>VÄSTRA GÖTALANDS LÄN</t>
        </is>
      </c>
      <c r="G120" t="inlineStr">
        <is>
          <t>ALINGSÅS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42710-2025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45908</v>
      </c>
      <c r="E121" s="1" t="n">
        <v>46223</v>
      </c>
      <c r="F121" t="inlineStr">
        <is>
          <t>VÄSTRA GÖTALANDS LÄN</t>
        </is>
      </c>
      <c r="G121" t="inlineStr">
        <is>
          <t>ALINGSÅS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42490-2025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46223</v>
      </c>
      <c r="F122" t="inlineStr">
        <is>
          <t>VÄSTRA GÖTALANDS LÄN</t>
        </is>
      </c>
      <c r="G122" t="inlineStr">
        <is>
          <t>ALINGSÅS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43262-2025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46223</v>
      </c>
      <c r="F123" t="inlineStr">
        <is>
          <t>VÄSTRA GÖTALANDS LÄN</t>
        </is>
      </c>
      <c r="G123" t="inlineStr">
        <is>
          <t>ALINGSÅS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44530-2025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46223</v>
      </c>
      <c r="F124" t="inlineStr">
        <is>
          <t>VÄSTRA GÖTALANDS LÄN</t>
        </is>
      </c>
      <c r="G124" t="inlineStr">
        <is>
          <t>ALINGSÅS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45610-2025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45922</v>
      </c>
      <c r="E125" s="1" t="n">
        <v>46223</v>
      </c>
      <c r="F125" t="inlineStr">
        <is>
          <t>VÄSTRA GÖTALANDS LÄN</t>
        </is>
      </c>
      <c r="G125" t="inlineStr">
        <is>
          <t>ALINGSÅS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19553-2024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45429</v>
      </c>
      <c r="E126" s="1" t="n">
        <v>46223</v>
      </c>
      <c r="F126" t="inlineStr">
        <is>
          <t>VÄSTRA GÖTALANDS LÄN</t>
        </is>
      </c>
      <c r="G126" t="inlineStr">
        <is>
          <t>ALINGSÅS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35004-2025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45850</v>
      </c>
      <c r="E127" s="1" t="n">
        <v>46223</v>
      </c>
      <c r="F127" t="inlineStr">
        <is>
          <t>VÄSTRA GÖTALANDS LÄN</t>
        </is>
      </c>
      <c r="G127" t="inlineStr">
        <is>
          <t>ALINGSÅS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59292-2023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45253</v>
      </c>
      <c r="E128" s="1" t="n">
        <v>46223</v>
      </c>
      <c r="F128" t="inlineStr">
        <is>
          <t>VÄSTRA GÖTALANDS LÄN</t>
        </is>
      </c>
      <c r="G128" t="inlineStr">
        <is>
          <t>ALINGSÅS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35003-2025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45850</v>
      </c>
      <c r="E129" s="1" t="n">
        <v>46223</v>
      </c>
      <c r="F129" t="inlineStr">
        <is>
          <t>VÄSTRA GÖTALANDS LÄN</t>
        </is>
      </c>
      <c r="G129" t="inlineStr">
        <is>
          <t>ALINGSÅS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15019-2023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45015</v>
      </c>
      <c r="E130" s="1" t="n">
        <v>46223</v>
      </c>
      <c r="F130" t="inlineStr">
        <is>
          <t>VÄSTRA GÖTALANDS LÄN</t>
        </is>
      </c>
      <c r="G130" t="inlineStr">
        <is>
          <t>ALINGSÅS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63143-2021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46223</v>
      </c>
      <c r="F131" t="inlineStr">
        <is>
          <t>VÄSTRA GÖTALANDS LÄN</t>
        </is>
      </c>
      <c r="G131" t="inlineStr">
        <is>
          <t>ALINGSÅS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47143-2025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45929</v>
      </c>
      <c r="E132" s="1" t="n">
        <v>46223</v>
      </c>
      <c r="F132" t="inlineStr">
        <is>
          <t>VÄSTRA GÖTALANDS LÄN</t>
        </is>
      </c>
      <c r="G132" t="inlineStr">
        <is>
          <t>ALINGSÅS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26316-2023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46223</v>
      </c>
      <c r="F133" t="inlineStr">
        <is>
          <t>VÄSTRA GÖTALANDS LÄN</t>
        </is>
      </c>
      <c r="G133" t="inlineStr">
        <is>
          <t>ALINGSÅS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47562-2025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46223</v>
      </c>
      <c r="F134" t="inlineStr">
        <is>
          <t>VÄSTRA GÖTALANDS LÄN</t>
        </is>
      </c>
      <c r="G134" t="inlineStr">
        <is>
          <t>ALINGSÅS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11024-2023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46223</v>
      </c>
      <c r="F135" t="inlineStr">
        <is>
          <t>VÄSTRA GÖTALANDS LÄN</t>
        </is>
      </c>
      <c r="G135" t="inlineStr">
        <is>
          <t>ALINGSÅS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64070-2023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45279</v>
      </c>
      <c r="E136" s="1" t="n">
        <v>46223</v>
      </c>
      <c r="F136" t="inlineStr">
        <is>
          <t>VÄSTRA GÖTALANDS LÄN</t>
        </is>
      </c>
      <c r="G136" t="inlineStr">
        <is>
          <t>ALINGSÅS</t>
        </is>
      </c>
      <c r="H136" t="inlineStr">
        <is>
          <t>Kommuner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17550-2025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45757</v>
      </c>
      <c r="E137" s="1" t="n">
        <v>46223</v>
      </c>
      <c r="F137" t="inlineStr">
        <is>
          <t>VÄSTRA GÖTALANDS LÄN</t>
        </is>
      </c>
      <c r="G137" t="inlineStr">
        <is>
          <t>ALINGSÅS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64058-2023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46223</v>
      </c>
      <c r="F138" t="inlineStr">
        <is>
          <t>VÄSTRA GÖTALANDS LÄN</t>
        </is>
      </c>
      <c r="G138" t="inlineStr">
        <is>
          <t>ALINGSÅS</t>
        </is>
      </c>
      <c r="H138" t="inlineStr">
        <is>
          <t>Kommuner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64194-2023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45279</v>
      </c>
      <c r="E139" s="1" t="n">
        <v>46223</v>
      </c>
      <c r="F139" t="inlineStr">
        <is>
          <t>VÄSTRA GÖTALANDS LÄN</t>
        </is>
      </c>
      <c r="G139" t="inlineStr">
        <is>
          <t>ALINGSÅS</t>
        </is>
      </c>
      <c r="H139" t="inlineStr">
        <is>
          <t>Kommuner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16609-2022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44672</v>
      </c>
      <c r="E140" s="1" t="n">
        <v>46223</v>
      </c>
      <c r="F140" t="inlineStr">
        <is>
          <t>VÄSTRA GÖTALANDS LÄN</t>
        </is>
      </c>
      <c r="G140" t="inlineStr">
        <is>
          <t>ALINGSÅS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16612-2022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44672</v>
      </c>
      <c r="E141" s="1" t="n">
        <v>46223</v>
      </c>
      <c r="F141" t="inlineStr">
        <is>
          <t>VÄSTRA GÖTALANDS LÄN</t>
        </is>
      </c>
      <c r="G141" t="inlineStr">
        <is>
          <t>ALINGSÅS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48966-2025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45937</v>
      </c>
      <c r="E142" s="1" t="n">
        <v>46223</v>
      </c>
      <c r="F142" t="inlineStr">
        <is>
          <t>VÄSTRA GÖTALANDS LÄN</t>
        </is>
      </c>
      <c r="G142" t="inlineStr">
        <is>
          <t>ALINGSÅS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49420-2025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45938</v>
      </c>
      <c r="E143" s="1" t="n">
        <v>46223</v>
      </c>
      <c r="F143" t="inlineStr">
        <is>
          <t>VÄSTRA GÖTALANDS LÄN</t>
        </is>
      </c>
      <c r="G143" t="inlineStr">
        <is>
          <t>ALINGSÅS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48942-2025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46223</v>
      </c>
      <c r="F144" t="inlineStr">
        <is>
          <t>VÄSTRA GÖTALANDS LÄN</t>
        </is>
      </c>
      <c r="G144" t="inlineStr">
        <is>
          <t>ALINGSÅS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14313-2023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45011</v>
      </c>
      <c r="E145" s="1" t="n">
        <v>46223</v>
      </c>
      <c r="F145" t="inlineStr">
        <is>
          <t>VÄSTRA GÖTALANDS LÄN</t>
        </is>
      </c>
      <c r="G145" t="inlineStr">
        <is>
          <t>ALINGSÅS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23559-2022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44721</v>
      </c>
      <c r="E146" s="1" t="n">
        <v>46223</v>
      </c>
      <c r="F146" t="inlineStr">
        <is>
          <t>VÄSTRA GÖTALANDS LÄN</t>
        </is>
      </c>
      <c r="G146" t="inlineStr">
        <is>
          <t>ALINGSÅS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5962-2023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44964</v>
      </c>
      <c r="E147" s="1" t="n">
        <v>46223</v>
      </c>
      <c r="F147" t="inlineStr">
        <is>
          <t>VÄSTRA GÖTALANDS LÄN</t>
        </is>
      </c>
      <c r="G147" t="inlineStr">
        <is>
          <t>ALINGSÅS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10916-2025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45722</v>
      </c>
      <c r="E148" s="1" t="n">
        <v>46223</v>
      </c>
      <c r="F148" t="inlineStr">
        <is>
          <t>VÄSTRA GÖTALANDS LÄN</t>
        </is>
      </c>
      <c r="G148" t="inlineStr">
        <is>
          <t>ALINGSÅS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32286-2024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45512</v>
      </c>
      <c r="E149" s="1" t="n">
        <v>46223</v>
      </c>
      <c r="F149" t="inlineStr">
        <is>
          <t>VÄSTRA GÖTALANDS LÄN</t>
        </is>
      </c>
      <c r="G149" t="inlineStr">
        <is>
          <t>ALINGSÅS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45612-2025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45922</v>
      </c>
      <c r="E150" s="1" t="n">
        <v>46223</v>
      </c>
      <c r="F150" t="inlineStr">
        <is>
          <t>VÄSTRA GÖTALANDS LÄN</t>
        </is>
      </c>
      <c r="G150" t="inlineStr">
        <is>
          <t>ALINGSÅS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24607-2022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44727</v>
      </c>
      <c r="E151" s="1" t="n">
        <v>46223</v>
      </c>
      <c r="F151" t="inlineStr">
        <is>
          <t>VÄSTRA GÖTALANDS LÄN</t>
        </is>
      </c>
      <c r="G151" t="inlineStr">
        <is>
          <t>ALINGSÅS</t>
        </is>
      </c>
      <c r="I151" t="n">
        <v>9.5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15018-2023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46223</v>
      </c>
      <c r="F152" t="inlineStr">
        <is>
          <t>VÄSTRA GÖTALANDS LÄN</t>
        </is>
      </c>
      <c r="G152" t="inlineStr">
        <is>
          <t>ALINGSÅS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7805-2025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45706</v>
      </c>
      <c r="E153" s="1" t="n">
        <v>46223</v>
      </c>
      <c r="F153" t="inlineStr">
        <is>
          <t>VÄSTRA GÖTALANDS LÄN</t>
        </is>
      </c>
      <c r="G153" t="inlineStr">
        <is>
          <t>ALINGSÅS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21727-2022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44708</v>
      </c>
      <c r="E154" s="1" t="n">
        <v>46223</v>
      </c>
      <c r="F154" t="inlineStr">
        <is>
          <t>VÄSTRA GÖTALANDS LÄN</t>
        </is>
      </c>
      <c r="G154" t="inlineStr">
        <is>
          <t>ALINGSÅS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45660</v>
      </c>
      <c r="E155" s="1" t="n">
        <v>46223</v>
      </c>
      <c r="F155" t="inlineStr">
        <is>
          <t>VÄSTRA GÖTALANDS LÄN</t>
        </is>
      </c>
      <c r="G155" t="inlineStr">
        <is>
          <t>ALINGSÅS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53222-2025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46223</v>
      </c>
      <c r="F156" t="inlineStr">
        <is>
          <t>VÄSTRA GÖTALANDS LÄN</t>
        </is>
      </c>
      <c r="G156" t="inlineStr">
        <is>
          <t>ALINGSÅS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53223-2025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45958</v>
      </c>
      <c r="E157" s="1" t="n">
        <v>46223</v>
      </c>
      <c r="F157" t="inlineStr">
        <is>
          <t>VÄSTRA GÖTALANDS LÄN</t>
        </is>
      </c>
      <c r="G157" t="inlineStr">
        <is>
          <t>ALINGSÅS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9362-2026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46070</v>
      </c>
      <c r="E158" s="1" t="n">
        <v>46223</v>
      </c>
      <c r="F158" t="inlineStr">
        <is>
          <t>VÄSTRA GÖTALANDS LÄN</t>
        </is>
      </c>
      <c r="G158" t="inlineStr">
        <is>
          <t>ALINGSÅS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54122-2025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46223</v>
      </c>
      <c r="F159" t="inlineStr">
        <is>
          <t>VÄSTRA GÖTALANDS LÄN</t>
        </is>
      </c>
      <c r="G159" t="inlineStr">
        <is>
          <t>ALINGSÅS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15798-2023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45021</v>
      </c>
      <c r="E160" s="1" t="n">
        <v>46223</v>
      </c>
      <c r="F160" t="inlineStr">
        <is>
          <t>VÄSTRA GÖTALANDS LÄN</t>
        </is>
      </c>
      <c r="G160" t="inlineStr">
        <is>
          <t>ALINGSÅS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54074-2025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46223</v>
      </c>
      <c r="F161" t="inlineStr">
        <is>
          <t>VÄSTRA GÖTALANDS LÄN</t>
        </is>
      </c>
      <c r="G161" t="inlineStr">
        <is>
          <t>ALINGSÅS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54073-2025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45964</v>
      </c>
      <c r="E162" s="1" t="n">
        <v>46223</v>
      </c>
      <c r="F162" t="inlineStr">
        <is>
          <t>VÄSTRA GÖTALANDS LÄN</t>
        </is>
      </c>
      <c r="G162" t="inlineStr">
        <is>
          <t>ALINGSÅS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54644-2025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45966</v>
      </c>
      <c r="E163" s="1" t="n">
        <v>46223</v>
      </c>
      <c r="F163" t="inlineStr">
        <is>
          <t>VÄSTRA GÖTALANDS LÄN</t>
        </is>
      </c>
      <c r="G163" t="inlineStr">
        <is>
          <t>ALINGSÅS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54643-2025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46223</v>
      </c>
      <c r="F164" t="inlineStr">
        <is>
          <t>VÄSTRA GÖTALANDS LÄN</t>
        </is>
      </c>
      <c r="G164" t="inlineStr">
        <is>
          <t>ALINGSÅS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3769-2025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46223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55775-2025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46223</v>
      </c>
      <c r="F166" t="inlineStr">
        <is>
          <t>VÄSTRA GÖTALANDS LÄN</t>
        </is>
      </c>
      <c r="G166" t="inlineStr">
        <is>
          <t>ALINGSÅS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57912-2025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46223</v>
      </c>
      <c r="F167" t="inlineStr">
        <is>
          <t>VÄSTRA GÖTALANDS LÄN</t>
        </is>
      </c>
      <c r="G167" t="inlineStr">
        <is>
          <t>ALINGSÅS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55294-2025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45969</v>
      </c>
      <c r="E168" s="1" t="n">
        <v>46223</v>
      </c>
      <c r="F168" t="inlineStr">
        <is>
          <t>VÄSTRA GÖTALANDS LÄN</t>
        </is>
      </c>
      <c r="G168" t="inlineStr">
        <is>
          <t>ALINGSÅS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56311-2025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45974</v>
      </c>
      <c r="E169" s="1" t="n">
        <v>46223</v>
      </c>
      <c r="F169" t="inlineStr">
        <is>
          <t>VÄSTRA GÖTALANDS LÄN</t>
        </is>
      </c>
      <c r="G169" t="inlineStr">
        <is>
          <t>ALINGSÅS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56116-2025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45973</v>
      </c>
      <c r="E170" s="1" t="n">
        <v>46223</v>
      </c>
      <c r="F170" t="inlineStr">
        <is>
          <t>VÄSTRA GÖTALANDS LÄN</t>
        </is>
      </c>
      <c r="G170" t="inlineStr">
        <is>
          <t>ALINGSÅS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56118-2025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46223</v>
      </c>
      <c r="F171" t="inlineStr">
        <is>
          <t>VÄSTRA GÖTALANDS LÄN</t>
        </is>
      </c>
      <c r="G171" t="inlineStr">
        <is>
          <t>ALINGSÅS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41971-2023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45177</v>
      </c>
      <c r="E172" s="1" t="n">
        <v>46223</v>
      </c>
      <c r="F172" t="inlineStr">
        <is>
          <t>VÄSTRA GÖTALANDS LÄN</t>
        </is>
      </c>
      <c r="G172" t="inlineStr">
        <is>
          <t>ALINGSÅS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8599-2023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44977</v>
      </c>
      <c r="E173" s="1" t="n">
        <v>46223</v>
      </c>
      <c r="F173" t="inlineStr">
        <is>
          <t>VÄSTRA GÖTALANDS LÄN</t>
        </is>
      </c>
      <c r="G173" t="inlineStr">
        <is>
          <t>ALINGSÅS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58636-2025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45986</v>
      </c>
      <c r="E174" s="1" t="n">
        <v>46223</v>
      </c>
      <c r="F174" t="inlineStr">
        <is>
          <t>VÄSTRA GÖTALANDS LÄN</t>
        </is>
      </c>
      <c r="G174" t="inlineStr">
        <is>
          <t>ALINGSÅS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12039-2026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46086</v>
      </c>
      <c r="E175" s="1" t="n">
        <v>46223</v>
      </c>
      <c r="F175" t="inlineStr">
        <is>
          <t>VÄSTRA GÖTALANDS LÄN</t>
        </is>
      </c>
      <c r="G175" t="inlineStr">
        <is>
          <t>ALINGSÅS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12168-2026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46086</v>
      </c>
      <c r="E176" s="1" t="n">
        <v>46223</v>
      </c>
      <c r="F176" t="inlineStr">
        <is>
          <t>VÄSTRA GÖTALANDS LÄN</t>
        </is>
      </c>
      <c r="G176" t="inlineStr">
        <is>
          <t>ALINGSÅS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25746-2024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45465</v>
      </c>
      <c r="E177" s="1" t="n">
        <v>46223</v>
      </c>
      <c r="F177" t="inlineStr">
        <is>
          <t>VÄSTRA GÖTALANDS LÄN</t>
        </is>
      </c>
      <c r="G177" t="inlineStr">
        <is>
          <t>ALINGSÅS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22186-2025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45785</v>
      </c>
      <c r="E178" s="1" t="n">
        <v>46223</v>
      </c>
      <c r="F178" t="inlineStr">
        <is>
          <t>VÄSTRA GÖTALANDS LÄN</t>
        </is>
      </c>
      <c r="G178" t="inlineStr">
        <is>
          <t>ALINGSÅS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59396-2025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45989</v>
      </c>
      <c r="E179" s="1" t="n">
        <v>46223</v>
      </c>
      <c r="F179" t="inlineStr">
        <is>
          <t>VÄSTRA GÖTALANDS LÄN</t>
        </is>
      </c>
      <c r="G179" t="inlineStr">
        <is>
          <t>ALINGSÅS</t>
        </is>
      </c>
      <c r="H179" t="inlineStr">
        <is>
          <t>Kyrkan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59397-2025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45989</v>
      </c>
      <c r="E180" s="1" t="n">
        <v>46223</v>
      </c>
      <c r="F180" t="inlineStr">
        <is>
          <t>VÄSTRA GÖTALANDS LÄN</t>
        </is>
      </c>
      <c r="G180" t="inlineStr">
        <is>
          <t>ALINGSÅS</t>
        </is>
      </c>
      <c r="H180" t="inlineStr">
        <is>
          <t>Kyrkan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8620-2023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44977</v>
      </c>
      <c r="E181" s="1" t="n">
        <v>46223</v>
      </c>
      <c r="F181" t="inlineStr">
        <is>
          <t>VÄSTRA GÖTALANDS LÄN</t>
        </is>
      </c>
      <c r="G181" t="inlineStr">
        <is>
          <t>ALINGSÅS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60725-2025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45996</v>
      </c>
      <c r="E182" s="1" t="n">
        <v>46223</v>
      </c>
      <c r="F182" t="inlineStr">
        <is>
          <t>VÄSTRA GÖTALANDS LÄN</t>
        </is>
      </c>
      <c r="G182" t="inlineStr">
        <is>
          <t>ALINGSÅS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61205-2025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46223</v>
      </c>
      <c r="F183" t="inlineStr">
        <is>
          <t>VÄSTRA GÖTALANDS LÄN</t>
        </is>
      </c>
      <c r="G183" t="inlineStr">
        <is>
          <t>ALINGSÅS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61134-2025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46223</v>
      </c>
      <c r="F184" t="inlineStr">
        <is>
          <t>VÄSTRA GÖTALANDS LÄN</t>
        </is>
      </c>
      <c r="G184" t="inlineStr">
        <is>
          <t>ALINGSÅS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13858-2024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45391</v>
      </c>
      <c r="E185" s="1" t="n">
        <v>46223</v>
      </c>
      <c r="F185" t="inlineStr">
        <is>
          <t>VÄSTRA GÖTALANDS LÄN</t>
        </is>
      </c>
      <c r="G185" t="inlineStr">
        <is>
          <t>ALINGSÅS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62818-2025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46008</v>
      </c>
      <c r="E186" s="1" t="n">
        <v>46223</v>
      </c>
      <c r="F186" t="inlineStr">
        <is>
          <t>VÄSTRA GÖTALANDS LÄN</t>
        </is>
      </c>
      <c r="G186" t="inlineStr">
        <is>
          <t>ALINGSÅS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37429-2023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46223</v>
      </c>
      <c r="F187" t="inlineStr">
        <is>
          <t>VÄSTRA GÖTALANDS LÄN</t>
        </is>
      </c>
      <c r="G187" t="inlineStr">
        <is>
          <t>ALINGSÅS</t>
        </is>
      </c>
      <c r="H187" t="inlineStr">
        <is>
          <t>Kyrkan</t>
        </is>
      </c>
      <c r="I187" t="n">
        <v>9.199999999999999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6341-2025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46223</v>
      </c>
      <c r="F188" t="inlineStr">
        <is>
          <t>VÄSTRA GÖTALANDS LÄN</t>
        </is>
      </c>
      <c r="G188" t="inlineStr">
        <is>
          <t>ALINGSÅS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63717-2025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46014</v>
      </c>
      <c r="E189" s="1" t="n">
        <v>46223</v>
      </c>
      <c r="F189" t="inlineStr">
        <is>
          <t>VÄSTRA GÖTALANDS LÄN</t>
        </is>
      </c>
      <c r="G189" t="inlineStr">
        <is>
          <t>ALINGSÅS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8210-2025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46223</v>
      </c>
      <c r="F190" t="inlineStr">
        <is>
          <t>VÄSTRA GÖTALANDS LÄN</t>
        </is>
      </c>
      <c r="G190" t="inlineStr">
        <is>
          <t>ALINGSÅS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8234-2025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46223</v>
      </c>
      <c r="F191" t="inlineStr">
        <is>
          <t>VÄSTRA GÖTALANDS LÄN</t>
        </is>
      </c>
      <c r="G191" t="inlineStr">
        <is>
          <t>ALINGSÅS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30478-2023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45111</v>
      </c>
      <c r="E192" s="1" t="n">
        <v>46223</v>
      </c>
      <c r="F192" t="inlineStr">
        <is>
          <t>VÄSTRA GÖTALANDS LÄN</t>
        </is>
      </c>
      <c r="G192" t="inlineStr">
        <is>
          <t>ALINGSÅS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63716-2025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46014</v>
      </c>
      <c r="E193" s="1" t="n">
        <v>46223</v>
      </c>
      <c r="F193" t="inlineStr">
        <is>
          <t>VÄSTRA GÖTALANDS LÄN</t>
        </is>
      </c>
      <c r="G193" t="inlineStr">
        <is>
          <t>ALINGSÅS</t>
        </is>
      </c>
      <c r="I193" t="n">
        <v>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3495-2023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44949</v>
      </c>
      <c r="E194" s="1" t="n">
        <v>46223</v>
      </c>
      <c r="F194" t="inlineStr">
        <is>
          <t>VÄSTRA GÖTALANDS LÄN</t>
        </is>
      </c>
      <c r="G194" t="inlineStr">
        <is>
          <t>ALINGSÅS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3355-2023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44949</v>
      </c>
      <c r="E195" s="1" t="n">
        <v>46223</v>
      </c>
      <c r="F195" t="inlineStr">
        <is>
          <t>VÄSTRA GÖTALANDS LÄN</t>
        </is>
      </c>
      <c r="G195" t="inlineStr">
        <is>
          <t>ALINGSÅS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15847-2026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46107</v>
      </c>
      <c r="E196" s="1" t="n">
        <v>46223</v>
      </c>
      <c r="F196" t="inlineStr">
        <is>
          <t>VÄSTRA GÖTALANDS LÄN</t>
        </is>
      </c>
      <c r="G196" t="inlineStr">
        <is>
          <t>ALINGSÅS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15663-2026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46106</v>
      </c>
      <c r="E197" s="1" t="n">
        <v>46223</v>
      </c>
      <c r="F197" t="inlineStr">
        <is>
          <t>VÄSTRA GÖTALANDS LÄN</t>
        </is>
      </c>
      <c r="G197" t="inlineStr">
        <is>
          <t>ALINGSÅS</t>
        </is>
      </c>
      <c r="I197" t="n">
        <v>13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15846-2026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46107</v>
      </c>
      <c r="E198" s="1" t="n">
        <v>46223</v>
      </c>
      <c r="F198" t="inlineStr">
        <is>
          <t>VÄSTRA GÖTALANDS LÄN</t>
        </is>
      </c>
      <c r="G198" t="inlineStr">
        <is>
          <t>ALINGSÅS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59956-2023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46223</v>
      </c>
      <c r="F199" t="inlineStr">
        <is>
          <t>VÄSTRA GÖTALANDS LÄN</t>
        </is>
      </c>
      <c r="G199" t="inlineStr">
        <is>
          <t>ALINGSÅS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19739-2025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46223</v>
      </c>
      <c r="F200" t="inlineStr">
        <is>
          <t>VÄSTRA GÖTALANDS LÄN</t>
        </is>
      </c>
      <c r="G200" t="inlineStr">
        <is>
          <t>ALINGSÅS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1837-2026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46223</v>
      </c>
      <c r="F201" t="inlineStr">
        <is>
          <t>VÄSTRA GÖTALANDS LÄN</t>
        </is>
      </c>
      <c r="G201" t="inlineStr">
        <is>
          <t>ALINGSÅS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16077-2026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46108</v>
      </c>
      <c r="E202" s="1" t="n">
        <v>46223</v>
      </c>
      <c r="F202" t="inlineStr">
        <is>
          <t>VÄSTRA GÖTALANDS LÄN</t>
        </is>
      </c>
      <c r="G202" t="inlineStr">
        <is>
          <t>ALINGSÅS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5808-2024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45335</v>
      </c>
      <c r="E203" s="1" t="n">
        <v>46223</v>
      </c>
      <c r="F203" t="inlineStr">
        <is>
          <t>VÄSTRA GÖTALANDS LÄN</t>
        </is>
      </c>
      <c r="G203" t="inlineStr">
        <is>
          <t>ALINGSÅS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45335</v>
      </c>
      <c r="E204" s="1" t="n">
        <v>46223</v>
      </c>
      <c r="F204" t="inlineStr">
        <is>
          <t>VÄSTRA GÖTALANDS LÄN</t>
        </is>
      </c>
      <c r="G204" t="inlineStr">
        <is>
          <t>ALINGSÅS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3028-2026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46223</v>
      </c>
      <c r="F205" t="inlineStr">
        <is>
          <t>VÄSTRA GÖTALANDS LÄN</t>
        </is>
      </c>
      <c r="G205" t="inlineStr">
        <is>
          <t>ALINGSÅS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16086-2026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46108</v>
      </c>
      <c r="E206" s="1" t="n">
        <v>46223</v>
      </c>
      <c r="F206" t="inlineStr">
        <is>
          <t>VÄSTRA GÖTALANDS LÄN</t>
        </is>
      </c>
      <c r="G206" t="inlineStr">
        <is>
          <t>ALINGSÅS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48082-2024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45589</v>
      </c>
      <c r="E207" s="1" t="n">
        <v>46223</v>
      </c>
      <c r="F207" t="inlineStr">
        <is>
          <t>VÄSTRA GÖTALANDS LÄN</t>
        </is>
      </c>
      <c r="G207" t="inlineStr">
        <is>
          <t>ALINGSÅS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15988-2026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46108</v>
      </c>
      <c r="E208" s="1" t="n">
        <v>46223</v>
      </c>
      <c r="F208" t="inlineStr">
        <is>
          <t>VÄSTRA GÖTALANDS LÄN</t>
        </is>
      </c>
      <c r="G208" t="inlineStr">
        <is>
          <t>ALINGSÅS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33812-2023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45133</v>
      </c>
      <c r="E209" s="1" t="n">
        <v>46223</v>
      </c>
      <c r="F209" t="inlineStr">
        <is>
          <t>VÄSTRA GÖTALANDS LÄN</t>
        </is>
      </c>
      <c r="G209" t="inlineStr">
        <is>
          <t>ALINGSÅS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58558-2021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44488</v>
      </c>
      <c r="E210" s="1" t="n">
        <v>46223</v>
      </c>
      <c r="F210" t="inlineStr">
        <is>
          <t>VÄSTRA GÖTALANDS LÄN</t>
        </is>
      </c>
      <c r="G210" t="inlineStr">
        <is>
          <t>ALINGSÅS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17654-2026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46121</v>
      </c>
      <c r="E211" s="1" t="n">
        <v>46223</v>
      </c>
      <c r="F211" t="inlineStr">
        <is>
          <t>VÄSTRA GÖTALANDS LÄN</t>
        </is>
      </c>
      <c r="G211" t="inlineStr">
        <is>
          <t>ALINGSÅS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17680-2026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46223</v>
      </c>
      <c r="F212" t="inlineStr">
        <is>
          <t>VÄSTRA GÖTALANDS LÄN</t>
        </is>
      </c>
      <c r="G212" t="inlineStr">
        <is>
          <t>ALINGSÅS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17834-2026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46122</v>
      </c>
      <c r="E213" s="1" t="n">
        <v>46223</v>
      </c>
      <c r="F213" t="inlineStr">
        <is>
          <t>VÄSTRA GÖTALANDS LÄN</t>
        </is>
      </c>
      <c r="G213" t="inlineStr">
        <is>
          <t>ALINGSÅS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11539-2022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44631</v>
      </c>
      <c r="E214" s="1" t="n">
        <v>46223</v>
      </c>
      <c r="F214" t="inlineStr">
        <is>
          <t>VÄSTRA GÖTALANDS LÄN</t>
        </is>
      </c>
      <c r="G214" t="inlineStr">
        <is>
          <t>ALINGSÅS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18574-2026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46223</v>
      </c>
      <c r="F215" t="inlineStr">
        <is>
          <t>VÄSTRA GÖTALANDS LÄN</t>
        </is>
      </c>
      <c r="G215" t="inlineStr">
        <is>
          <t>ALINGSÅS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51169-2021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44461</v>
      </c>
      <c r="E216" s="1" t="n">
        <v>46223</v>
      </c>
      <c r="F216" t="inlineStr">
        <is>
          <t>VÄSTRA GÖTALANDS LÄN</t>
        </is>
      </c>
      <c r="G216" t="inlineStr">
        <is>
          <t>ALINGSÅS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18360-2026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46126</v>
      </c>
      <c r="E217" s="1" t="n">
        <v>46223</v>
      </c>
      <c r="F217" t="inlineStr">
        <is>
          <t>VÄSTRA GÖTALANDS LÄN</t>
        </is>
      </c>
      <c r="G217" t="inlineStr">
        <is>
          <t>ALINGSÅS</t>
        </is>
      </c>
      <c r="H217" t="inlineStr">
        <is>
          <t>Kommuner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54615-2024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45617</v>
      </c>
      <c r="E218" s="1" t="n">
        <v>46223</v>
      </c>
      <c r="F218" t="inlineStr">
        <is>
          <t>VÄSTRA GÖTALANDS LÄN</t>
        </is>
      </c>
      <c r="G218" t="inlineStr">
        <is>
          <t>ALINGSÅS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18889-2026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46129</v>
      </c>
      <c r="E219" s="1" t="n">
        <v>46223</v>
      </c>
      <c r="F219" t="inlineStr">
        <is>
          <t>VÄSTRA GÖTALANDS LÄN</t>
        </is>
      </c>
      <c r="G219" t="inlineStr">
        <is>
          <t>ALINGSÅS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19025-2026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46131</v>
      </c>
      <c r="E220" s="1" t="n">
        <v>46223</v>
      </c>
      <c r="F220" t="inlineStr">
        <is>
          <t>VÄSTRA GÖTALANDS LÄN</t>
        </is>
      </c>
      <c r="G220" t="inlineStr">
        <is>
          <t>ALINGSÅS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59303-2024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46223</v>
      </c>
      <c r="F221" t="inlineStr">
        <is>
          <t>VÄSTRA GÖTALANDS LÄN</t>
        </is>
      </c>
      <c r="G221" t="inlineStr">
        <is>
          <t>ALINGSÅS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45323-2024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45576</v>
      </c>
      <c r="E222" s="1" t="n">
        <v>46223</v>
      </c>
      <c r="F222" t="inlineStr">
        <is>
          <t>VÄSTRA GÖTALANDS LÄN</t>
        </is>
      </c>
      <c r="G222" t="inlineStr">
        <is>
          <t>ALINGSÅS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23181-2023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45075</v>
      </c>
      <c r="E223" s="1" t="n">
        <v>46223</v>
      </c>
      <c r="F223" t="inlineStr">
        <is>
          <t>VÄSTRA GÖTALANDS LÄN</t>
        </is>
      </c>
      <c r="G223" t="inlineStr">
        <is>
          <t>ALINGSÅS</t>
        </is>
      </c>
      <c r="I223" t="n">
        <v>13.1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5757-2022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44596</v>
      </c>
      <c r="E224" s="1" t="n">
        <v>46223</v>
      </c>
      <c r="F224" t="inlineStr">
        <is>
          <t>VÄSTRA GÖTALANDS LÄN</t>
        </is>
      </c>
      <c r="G224" t="inlineStr">
        <is>
          <t>ALINGSÅS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5023-2024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45329</v>
      </c>
      <c r="E225" s="1" t="n">
        <v>46223</v>
      </c>
      <c r="F225" t="inlineStr">
        <is>
          <t>VÄSTRA GÖTALANDS LÄN</t>
        </is>
      </c>
      <c r="G225" t="inlineStr">
        <is>
          <t>ALINGSÅS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3172-2022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44582</v>
      </c>
      <c r="E226" s="1" t="n">
        <v>46223</v>
      </c>
      <c r="F226" t="inlineStr">
        <is>
          <t>VÄSTRA GÖTALANDS LÄN</t>
        </is>
      </c>
      <c r="G226" t="inlineStr">
        <is>
          <t>ALINGSÅS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33490-2025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46223</v>
      </c>
      <c r="F227" t="inlineStr">
        <is>
          <t>VÄSTRA GÖTALANDS LÄN</t>
        </is>
      </c>
      <c r="G227" t="inlineStr">
        <is>
          <t>ALINGSÅS</t>
        </is>
      </c>
      <c r="I227" t="n">
        <v>7.9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49164-2024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45594</v>
      </c>
      <c r="E228" s="1" t="n">
        <v>46223</v>
      </c>
      <c r="F228" t="inlineStr">
        <is>
          <t>VÄSTRA GÖTALANDS LÄN</t>
        </is>
      </c>
      <c r="G228" t="inlineStr">
        <is>
          <t>ALINGSÅS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3618-2025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45681</v>
      </c>
      <c r="E229" s="1" t="n">
        <v>46223</v>
      </c>
      <c r="F229" t="inlineStr">
        <is>
          <t>VÄSTRA GÖTALANDS LÄN</t>
        </is>
      </c>
      <c r="G229" t="inlineStr">
        <is>
          <t>ALINGSÅS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40880-2023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45173</v>
      </c>
      <c r="E230" s="1" t="n">
        <v>46223</v>
      </c>
      <c r="F230" t="inlineStr">
        <is>
          <t>VÄSTRA GÖTALANDS LÄN</t>
        </is>
      </c>
      <c r="G230" t="inlineStr">
        <is>
          <t>ALINGSÅS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44103-2025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45915</v>
      </c>
      <c r="E231" s="1" t="n">
        <v>46223</v>
      </c>
      <c r="F231" t="inlineStr">
        <is>
          <t>VÄSTRA GÖTALANDS LÄN</t>
        </is>
      </c>
      <c r="G231" t="inlineStr">
        <is>
          <t>ALINGSÅS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20123-2025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45772</v>
      </c>
      <c r="E232" s="1" t="n">
        <v>46223</v>
      </c>
      <c r="F232" t="inlineStr">
        <is>
          <t>VÄSTRA GÖTALANDS LÄN</t>
        </is>
      </c>
      <c r="G232" t="inlineStr">
        <is>
          <t>ALINGSÅS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21143-2024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45440</v>
      </c>
      <c r="E233" s="1" t="n">
        <v>46223</v>
      </c>
      <c r="F233" t="inlineStr">
        <is>
          <t>VÄSTRA GÖTALANDS LÄN</t>
        </is>
      </c>
      <c r="G233" t="inlineStr">
        <is>
          <t>ALINGSÅS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29837-2025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45826</v>
      </c>
      <c r="E234" s="1" t="n">
        <v>46223</v>
      </c>
      <c r="F234" t="inlineStr">
        <is>
          <t>VÄSTRA GÖTALANDS LÄN</t>
        </is>
      </c>
      <c r="G234" t="inlineStr">
        <is>
          <t>ALINGSÅS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23617-2025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46223</v>
      </c>
      <c r="F235" t="inlineStr">
        <is>
          <t>VÄSTRA GÖTALANDS LÄN</t>
        </is>
      </c>
      <c r="G235" t="inlineStr">
        <is>
          <t>ALINGSÅS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24000-2024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45456</v>
      </c>
      <c r="E236" s="1" t="n">
        <v>46223</v>
      </c>
      <c r="F236" t="inlineStr">
        <is>
          <t>VÄSTRA GÖTALANDS LÄN</t>
        </is>
      </c>
      <c r="G236" t="inlineStr">
        <is>
          <t>ALINGSÅS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59566-2023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45254</v>
      </c>
      <c r="E237" s="1" t="n">
        <v>46223</v>
      </c>
      <c r="F237" t="inlineStr">
        <is>
          <t>VÄSTRA GÖTALANDS LÄN</t>
        </is>
      </c>
      <c r="G237" t="inlineStr">
        <is>
          <t>ALINGSÅS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24579-2022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44727</v>
      </c>
      <c r="E238" s="1" t="n">
        <v>46223</v>
      </c>
      <c r="F238" t="inlineStr">
        <is>
          <t>VÄSTRA GÖTALANDS LÄN</t>
        </is>
      </c>
      <c r="G238" t="inlineStr">
        <is>
          <t>ALINGSÅS</t>
        </is>
      </c>
      <c r="I238" t="n">
        <v>10.4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47233-2022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44852</v>
      </c>
      <c r="E239" s="1" t="n">
        <v>46223</v>
      </c>
      <c r="F239" t="inlineStr">
        <is>
          <t>VÄSTRA GÖTALANDS LÄN</t>
        </is>
      </c>
      <c r="G239" t="inlineStr">
        <is>
          <t>ALINGSÅS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18159-2024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45420</v>
      </c>
      <c r="E240" s="1" t="n">
        <v>46223</v>
      </c>
      <c r="F240" t="inlineStr">
        <is>
          <t>VÄSTRA GÖTALANDS LÄN</t>
        </is>
      </c>
      <c r="G240" t="inlineStr">
        <is>
          <t>ALINGSÅS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39471-2023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46223</v>
      </c>
      <c r="F241" t="inlineStr">
        <is>
          <t>VÄSTRA GÖTALANDS LÄN</t>
        </is>
      </c>
      <c r="G241" t="inlineStr">
        <is>
          <t>ALINGSÅS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27029-2026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46185</v>
      </c>
      <c r="E242" s="1" t="n">
        <v>46223</v>
      </c>
      <c r="F242" t="inlineStr">
        <is>
          <t>VÄSTRA GÖTALANDS LÄN</t>
        </is>
      </c>
      <c r="G242" t="inlineStr">
        <is>
          <t>ALINGSÅS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27401-2026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46223</v>
      </c>
      <c r="F243" t="inlineStr">
        <is>
          <t>VÄSTRA GÖTALANDS LÄN</t>
        </is>
      </c>
      <c r="G243" t="inlineStr">
        <is>
          <t>ALINGSÅS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25747-2024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45465</v>
      </c>
      <c r="E244" s="1" t="n">
        <v>46223</v>
      </c>
      <c r="F244" t="inlineStr">
        <is>
          <t>VÄSTRA GÖTALANDS LÄN</t>
        </is>
      </c>
      <c r="G244" t="inlineStr">
        <is>
          <t>ALINGSÅS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60904-2023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45261</v>
      </c>
      <c r="E245" s="1" t="n">
        <v>46223</v>
      </c>
      <c r="F245" t="inlineStr">
        <is>
          <t>VÄSTRA GÖTALANDS LÄN</t>
        </is>
      </c>
      <c r="G245" t="inlineStr">
        <is>
          <t>ALINGSÅS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60027-2023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45258</v>
      </c>
      <c r="E246" s="1" t="n">
        <v>46223</v>
      </c>
      <c r="F246" t="inlineStr">
        <is>
          <t>VÄSTRA GÖTALANDS LÄN</t>
        </is>
      </c>
      <c r="G246" t="inlineStr">
        <is>
          <t>ALINGSÅS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62671-2023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45271</v>
      </c>
      <c r="E247" s="1" t="n">
        <v>46223</v>
      </c>
      <c r="F247" t="inlineStr">
        <is>
          <t>VÄSTRA GÖTALANDS LÄN</t>
        </is>
      </c>
      <c r="G247" t="inlineStr">
        <is>
          <t>ALINGSÅS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21558-2026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46148</v>
      </c>
      <c r="E248" s="1" t="n">
        <v>46223</v>
      </c>
      <c r="F248" t="inlineStr">
        <is>
          <t>VÄSTRA GÖTALANDS LÄN</t>
        </is>
      </c>
      <c r="G248" t="inlineStr">
        <is>
          <t>ALINGSÅS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2362-2024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45310</v>
      </c>
      <c r="E249" s="1" t="n">
        <v>46223</v>
      </c>
      <c r="F249" t="inlineStr">
        <is>
          <t>VÄSTRA GÖTALANDS LÄN</t>
        </is>
      </c>
      <c r="G249" t="inlineStr">
        <is>
          <t>ALINGSÅS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61734-2023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45265</v>
      </c>
      <c r="E250" s="1" t="n">
        <v>46223</v>
      </c>
      <c r="F250" t="inlineStr">
        <is>
          <t>VÄSTRA GÖTALANDS LÄN</t>
        </is>
      </c>
      <c r="G250" t="inlineStr">
        <is>
          <t>ALINGSÅS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8080-2023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44974</v>
      </c>
      <c r="E251" s="1" t="n">
        <v>46223</v>
      </c>
      <c r="F251" t="inlineStr">
        <is>
          <t>VÄSTRA GÖTALANDS LÄN</t>
        </is>
      </c>
      <c r="G251" t="inlineStr">
        <is>
          <t>ALINGSÅS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50039-2021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44456</v>
      </c>
      <c r="E252" s="1" t="n">
        <v>46223</v>
      </c>
      <c r="F252" t="inlineStr">
        <is>
          <t>VÄSTRA GÖTALANDS LÄN</t>
        </is>
      </c>
      <c r="G252" t="inlineStr">
        <is>
          <t>ALINGSÅS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50633-2023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45210</v>
      </c>
      <c r="E253" s="1" t="n">
        <v>46223</v>
      </c>
      <c r="F253" t="inlineStr">
        <is>
          <t>VÄSTRA GÖTALANDS LÄN</t>
        </is>
      </c>
      <c r="G253" t="inlineStr">
        <is>
          <t>ALINGSÅS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25141-2022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44729</v>
      </c>
      <c r="E254" s="1" t="n">
        <v>46223</v>
      </c>
      <c r="F254" t="inlineStr">
        <is>
          <t>VÄSTRA GÖTALANDS LÄN</t>
        </is>
      </c>
      <c r="G254" t="inlineStr">
        <is>
          <t>ALINGSÅS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42531-2022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44831</v>
      </c>
      <c r="E255" s="1" t="n">
        <v>46223</v>
      </c>
      <c r="F255" t="inlineStr">
        <is>
          <t>VÄSTRA GÖTALANDS LÄN</t>
        </is>
      </c>
      <c r="G255" t="inlineStr">
        <is>
          <t>ALINGSÅS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27877-2026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46191</v>
      </c>
      <c r="E256" s="1" t="n">
        <v>46223</v>
      </c>
      <c r="F256" t="inlineStr">
        <is>
          <t>VÄSTRA GÖTALANDS LÄN</t>
        </is>
      </c>
      <c r="G256" t="inlineStr">
        <is>
          <t>ALINGSÅS</t>
        </is>
      </c>
      <c r="I256" t="n">
        <v>21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27882-2026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46191</v>
      </c>
      <c r="E257" s="1" t="n">
        <v>46223</v>
      </c>
      <c r="F257" t="inlineStr">
        <is>
          <t>VÄSTRA GÖTALANDS LÄN</t>
        </is>
      </c>
      <c r="G257" t="inlineStr">
        <is>
          <t>ALINGSÅS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7713-2024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45349</v>
      </c>
      <c r="E258" s="1" t="n">
        <v>46223</v>
      </c>
      <c r="F258" t="inlineStr">
        <is>
          <t>VÄSTRA GÖTALANDS LÄN</t>
        </is>
      </c>
      <c r="G258" t="inlineStr">
        <is>
          <t>ALINGSÅS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40293-2022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44821</v>
      </c>
      <c r="E259" s="1" t="n">
        <v>46223</v>
      </c>
      <c r="F259" t="inlineStr">
        <is>
          <t>VÄSTRA GÖTALANDS LÄN</t>
        </is>
      </c>
      <c r="G259" t="inlineStr">
        <is>
          <t>ALINGSÅS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27431-2023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46223</v>
      </c>
      <c r="F260" t="inlineStr">
        <is>
          <t>VÄSTRA GÖTALANDS LÄN</t>
        </is>
      </c>
      <c r="G260" t="inlineStr">
        <is>
          <t>ALINGSÅS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39963-2021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44418</v>
      </c>
      <c r="E261" s="1" t="n">
        <v>46223</v>
      </c>
      <c r="F261" t="inlineStr">
        <is>
          <t>VÄSTRA GÖTALANDS LÄN</t>
        </is>
      </c>
      <c r="G261" t="inlineStr">
        <is>
          <t>ALINGSÅS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49522-2024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45596</v>
      </c>
      <c r="E262" s="1" t="n">
        <v>46223</v>
      </c>
      <c r="F262" t="inlineStr">
        <is>
          <t>VÄSTRA GÖTALANDS LÄN</t>
        </is>
      </c>
      <c r="G262" t="inlineStr">
        <is>
          <t>ALINGSÅS</t>
        </is>
      </c>
      <c r="I262" t="n">
        <v>8.300000000000001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8981-2023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44979</v>
      </c>
      <c r="E263" s="1" t="n">
        <v>46223</v>
      </c>
      <c r="F263" t="inlineStr">
        <is>
          <t>VÄSTRA GÖTALANDS LÄN</t>
        </is>
      </c>
      <c r="G263" t="inlineStr">
        <is>
          <t>ALINGSÅS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57491-2022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44896</v>
      </c>
      <c r="E264" s="1" t="n">
        <v>46223</v>
      </c>
      <c r="F264" t="inlineStr">
        <is>
          <t>VÄSTRA GÖTALANDS LÄN</t>
        </is>
      </c>
      <c r="G264" t="inlineStr">
        <is>
          <t>ALINGSÅS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8828-2024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45356</v>
      </c>
      <c r="E265" s="1" t="n">
        <v>46223</v>
      </c>
      <c r="F265" t="inlineStr">
        <is>
          <t>VÄSTRA GÖTALANDS LÄN</t>
        </is>
      </c>
      <c r="G265" t="inlineStr">
        <is>
          <t>ALINGSÅS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52297-2024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46223</v>
      </c>
      <c r="F266" t="inlineStr">
        <is>
          <t>VÄSTRA GÖTALANDS LÄN</t>
        </is>
      </c>
      <c r="G266" t="inlineStr">
        <is>
          <t>ALINGSÅS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52302-2024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45608</v>
      </c>
      <c r="E267" s="1" t="n">
        <v>46223</v>
      </c>
      <c r="F267" t="inlineStr">
        <is>
          <t>VÄSTRA GÖTALANDS LÄN</t>
        </is>
      </c>
      <c r="G267" t="inlineStr">
        <is>
          <t>ALINGSÅS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59541-2022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44907</v>
      </c>
      <c r="E268" s="1" t="n">
        <v>46223</v>
      </c>
      <c r="F268" t="inlineStr">
        <is>
          <t>VÄSTRA GÖTALANDS LÄN</t>
        </is>
      </c>
      <c r="G268" t="inlineStr">
        <is>
          <t>ALINGSÅS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38508-2024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45546</v>
      </c>
      <c r="E269" s="1" t="n">
        <v>46223</v>
      </c>
      <c r="F269" t="inlineStr">
        <is>
          <t>VÄSTRA GÖTALANDS LÄN</t>
        </is>
      </c>
      <c r="G269" t="inlineStr">
        <is>
          <t>ALINGSÅS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8980-2023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46223</v>
      </c>
      <c r="F270" t="inlineStr">
        <is>
          <t>VÄSTRA GÖTALANDS LÄN</t>
        </is>
      </c>
      <c r="G270" t="inlineStr">
        <is>
          <t>ALINGSÅS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46240-2023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45196</v>
      </c>
      <c r="E271" s="1" t="n">
        <v>46223</v>
      </c>
      <c r="F271" t="inlineStr">
        <is>
          <t>VÄSTRA GÖTALANDS LÄN</t>
        </is>
      </c>
      <c r="G271" t="inlineStr">
        <is>
          <t>ALINGSÅS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31873-2023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45118</v>
      </c>
      <c r="E272" s="1" t="n">
        <v>46223</v>
      </c>
      <c r="F272" t="inlineStr">
        <is>
          <t>VÄSTRA GÖTALANDS LÄN</t>
        </is>
      </c>
      <c r="G272" t="inlineStr">
        <is>
          <t>ALINGSÅS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53887-2021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44469</v>
      </c>
      <c r="E273" s="1" t="n">
        <v>46223</v>
      </c>
      <c r="F273" t="inlineStr">
        <is>
          <t>VÄSTRA GÖTALANDS LÄN</t>
        </is>
      </c>
      <c r="G273" t="inlineStr">
        <is>
          <t>ALINGSÅS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3352-2025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45679</v>
      </c>
      <c r="E274" s="1" t="n">
        <v>46223</v>
      </c>
      <c r="F274" t="inlineStr">
        <is>
          <t>VÄSTRA GÖTALANDS LÄN</t>
        </is>
      </c>
      <c r="G274" t="inlineStr">
        <is>
          <t>ALINGSÅS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17048-2024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45412</v>
      </c>
      <c r="E275" s="1" t="n">
        <v>46223</v>
      </c>
      <c r="F275" t="inlineStr">
        <is>
          <t>VÄSTRA GÖTALANDS LÄN</t>
        </is>
      </c>
      <c r="G275" t="inlineStr">
        <is>
          <t>ALINGSÅS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27404-2026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46189</v>
      </c>
      <c r="E276" s="1" t="n">
        <v>46223</v>
      </c>
      <c r="F276" t="inlineStr">
        <is>
          <t>VÄSTRA GÖTALANDS LÄN</t>
        </is>
      </c>
      <c r="G276" t="inlineStr">
        <is>
          <t>ALINGSÅS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52299-2024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45608</v>
      </c>
      <c r="E277" s="1" t="n">
        <v>46223</v>
      </c>
      <c r="F277" t="inlineStr">
        <is>
          <t>VÄSTRA GÖTALANDS LÄN</t>
        </is>
      </c>
      <c r="G277" t="inlineStr">
        <is>
          <t>ALINGSÅS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4147-2023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44953</v>
      </c>
      <c r="E278" s="1" t="n">
        <v>46223</v>
      </c>
      <c r="F278" t="inlineStr">
        <is>
          <t>VÄSTRA GÖTALANDS LÄN</t>
        </is>
      </c>
      <c r="G278" t="inlineStr">
        <is>
          <t>ALINGSÅS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36332-2023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45152</v>
      </c>
      <c r="E279" s="1" t="n">
        <v>46223</v>
      </c>
      <c r="F279" t="inlineStr">
        <is>
          <t>VÄSTRA GÖTALANDS LÄN</t>
        </is>
      </c>
      <c r="G279" t="inlineStr">
        <is>
          <t>ALINGSÅS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38955-2022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44816</v>
      </c>
      <c r="E280" s="1" t="n">
        <v>46223</v>
      </c>
      <c r="F280" t="inlineStr">
        <is>
          <t>VÄSTRA GÖTALANDS LÄN</t>
        </is>
      </c>
      <c r="G280" t="inlineStr">
        <is>
          <t>ALINGSÅS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39472-2023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46223</v>
      </c>
      <c r="F281" t="inlineStr">
        <is>
          <t>VÄSTRA GÖTALANDS LÄN</t>
        </is>
      </c>
      <c r="G281" t="inlineStr">
        <is>
          <t>ALINGSÅS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24668-2026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46171</v>
      </c>
      <c r="E282" s="1" t="n">
        <v>46223</v>
      </c>
      <c r="F282" t="inlineStr">
        <is>
          <t>VÄSTRA GÖTALANDS LÄN</t>
        </is>
      </c>
      <c r="G282" t="inlineStr">
        <is>
          <t>ALINGSÅS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57450-2024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45630</v>
      </c>
      <c r="E283" s="1" t="n">
        <v>46223</v>
      </c>
      <c r="F283" t="inlineStr">
        <is>
          <t>VÄSTRA GÖTALANDS LÄN</t>
        </is>
      </c>
      <c r="G283" t="inlineStr">
        <is>
          <t>ALINGSÅS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24995-2026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46223</v>
      </c>
      <c r="F284" t="inlineStr">
        <is>
          <t>VÄSTRA GÖTALANDS LÄN</t>
        </is>
      </c>
      <c r="G284" t="inlineStr">
        <is>
          <t>ALINGSÅS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24845-2026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46223</v>
      </c>
      <c r="F285" t="inlineStr">
        <is>
          <t>VÄSTRA GÖTALANDS LÄN</t>
        </is>
      </c>
      <c r="G285" t="inlineStr">
        <is>
          <t>ALINGSÅS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9711-2023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46223</v>
      </c>
      <c r="F286" t="inlineStr">
        <is>
          <t>VÄSTRA GÖTALANDS LÄN</t>
        </is>
      </c>
      <c r="G286" t="inlineStr">
        <is>
          <t>ALINGSÅS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24847-2026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46223</v>
      </c>
      <c r="F287" t="inlineStr">
        <is>
          <t>VÄSTRA GÖTALANDS LÄN</t>
        </is>
      </c>
      <c r="G287" t="inlineStr">
        <is>
          <t>ALINGSÅS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52298-2024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45608</v>
      </c>
      <c r="E288" s="1" t="n">
        <v>46223</v>
      </c>
      <c r="F288" t="inlineStr">
        <is>
          <t>VÄSTRA GÖTALANDS LÄN</t>
        </is>
      </c>
      <c r="G288" t="inlineStr">
        <is>
          <t>ALINGSÅS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25468-2026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46177</v>
      </c>
      <c r="E289" s="1" t="n">
        <v>46223</v>
      </c>
      <c r="F289" t="inlineStr">
        <is>
          <t>VÄSTRA GÖTALANDS LÄN</t>
        </is>
      </c>
      <c r="G289" t="inlineStr">
        <is>
          <t>ALINGSÅS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25457-2026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46177</v>
      </c>
      <c r="E290" s="1" t="n">
        <v>46223</v>
      </c>
      <c r="F290" t="inlineStr">
        <is>
          <t>VÄSTRA GÖTALANDS LÄN</t>
        </is>
      </c>
      <c r="G290" t="inlineStr">
        <is>
          <t>ALINGSÅS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25343-2026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46176</v>
      </c>
      <c r="E291" s="1" t="n">
        <v>46223</v>
      </c>
      <c r="F291" t="inlineStr">
        <is>
          <t>VÄSTRA GÖTALANDS LÄN</t>
        </is>
      </c>
      <c r="G291" t="inlineStr">
        <is>
          <t>ALINGSÅS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11023-2023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44991</v>
      </c>
      <c r="E292" s="1" t="n">
        <v>46223</v>
      </c>
      <c r="F292" t="inlineStr">
        <is>
          <t>VÄSTRA GÖTALANDS LÄN</t>
        </is>
      </c>
      <c r="G292" t="inlineStr">
        <is>
          <t>ALINGSÅS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25302-2026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46176</v>
      </c>
      <c r="E293" s="1" t="n">
        <v>46223</v>
      </c>
      <c r="F293" t="inlineStr">
        <is>
          <t>VÄSTRA GÖTALANDS LÄN</t>
        </is>
      </c>
      <c r="G293" t="inlineStr">
        <is>
          <t>ALINGSÅS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25775-2026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46178</v>
      </c>
      <c r="E294" s="1" t="n">
        <v>46223</v>
      </c>
      <c r="F294" t="inlineStr">
        <is>
          <t>VÄSTRA GÖTALANDS LÄN</t>
        </is>
      </c>
      <c r="G294" t="inlineStr">
        <is>
          <t>ALINGSÅS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25462-2026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46177</v>
      </c>
      <c r="E295" s="1" t="n">
        <v>46223</v>
      </c>
      <c r="F295" t="inlineStr">
        <is>
          <t>VÄSTRA GÖTALANDS LÄN</t>
        </is>
      </c>
      <c r="G295" t="inlineStr">
        <is>
          <t>ALINGSÅS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25469-2026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46177</v>
      </c>
      <c r="E296" s="1" t="n">
        <v>46223</v>
      </c>
      <c r="F296" t="inlineStr">
        <is>
          <t>VÄSTRA GÖTALANDS LÄN</t>
        </is>
      </c>
      <c r="G296" t="inlineStr">
        <is>
          <t>ALINGSÅS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25313-2026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46176</v>
      </c>
      <c r="E297" s="1" t="n">
        <v>46223</v>
      </c>
      <c r="F297" t="inlineStr">
        <is>
          <t>VÄSTRA GÖTALANDS LÄN</t>
        </is>
      </c>
      <c r="G297" t="inlineStr">
        <is>
          <t>ALINGSÅS</t>
        </is>
      </c>
      <c r="I297" t="n">
        <v>5.2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50312-2024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45600</v>
      </c>
      <c r="E298" s="1" t="n">
        <v>46223</v>
      </c>
      <c r="F298" t="inlineStr">
        <is>
          <t>VÄSTRA GÖTALANDS LÄN</t>
        </is>
      </c>
      <c r="G298" t="inlineStr">
        <is>
          <t>ALINGSÅS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11119-2024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45371</v>
      </c>
      <c r="E299" s="1" t="n">
        <v>46223</v>
      </c>
      <c r="F299" t="inlineStr">
        <is>
          <t>VÄSTRA GÖTALANDS LÄN</t>
        </is>
      </c>
      <c r="G299" t="inlineStr">
        <is>
          <t>ALINGSÅS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19562-2024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45429</v>
      </c>
      <c r="E300" s="1" t="n">
        <v>46223</v>
      </c>
      <c r="F300" t="inlineStr">
        <is>
          <t>VÄSTRA GÖTALANDS LÄN</t>
        </is>
      </c>
      <c r="G300" t="inlineStr">
        <is>
          <t>ALINGSÅS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18940-2024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45427</v>
      </c>
      <c r="E301" s="1" t="n">
        <v>46223</v>
      </c>
      <c r="F301" t="inlineStr">
        <is>
          <t>VÄSTRA GÖTALANDS LÄN</t>
        </is>
      </c>
      <c r="G301" t="inlineStr">
        <is>
          <t>ALINGSÅS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33491-2024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45519</v>
      </c>
      <c r="E302" s="1" t="n">
        <v>46223</v>
      </c>
      <c r="F302" t="inlineStr">
        <is>
          <t>VÄSTRA GÖTALANDS LÄN</t>
        </is>
      </c>
      <c r="G302" t="inlineStr">
        <is>
          <t>ALINGSÅS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23533-2025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45792</v>
      </c>
      <c r="E303" s="1" t="n">
        <v>46223</v>
      </c>
      <c r="F303" t="inlineStr">
        <is>
          <t>VÄSTRA GÖTALANDS LÄN</t>
        </is>
      </c>
      <c r="G303" t="inlineStr">
        <is>
          <t>ALINGSÅS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45681</v>
      </c>
      <c r="E304" s="1" t="n">
        <v>46223</v>
      </c>
      <c r="F304" t="inlineStr">
        <is>
          <t>VÄSTRA GÖTALANDS LÄN</t>
        </is>
      </c>
      <c r="G304" t="inlineStr">
        <is>
          <t>ALINGSÅS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60026-2023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45258</v>
      </c>
      <c r="E305" s="1" t="n">
        <v>46223</v>
      </c>
      <c r="F305" t="inlineStr">
        <is>
          <t>VÄSTRA GÖTALANDS LÄN</t>
        </is>
      </c>
      <c r="G305" t="inlineStr">
        <is>
          <t>ALINGSÅS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32026-2024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45510</v>
      </c>
      <c r="E306" s="1" t="n">
        <v>46223</v>
      </c>
      <c r="F306" t="inlineStr">
        <is>
          <t>VÄSTRA GÖTALANDS LÄN</t>
        </is>
      </c>
      <c r="G306" t="inlineStr">
        <is>
          <t>ALINGSÅS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25897-2025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45804</v>
      </c>
      <c r="E307" s="1" t="n">
        <v>46223</v>
      </c>
      <c r="F307" t="inlineStr">
        <is>
          <t>VÄSTRA GÖTALANDS LÄN</t>
        </is>
      </c>
      <c r="G307" t="inlineStr">
        <is>
          <t>ALINGSÅS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25562-2025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46223</v>
      </c>
      <c r="F308" t="inlineStr">
        <is>
          <t>VÄSTRA GÖTALANDS LÄN</t>
        </is>
      </c>
      <c r="G308" t="inlineStr">
        <is>
          <t>ALINGSÅS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S 277-2024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46223</v>
      </c>
      <c r="F309" t="inlineStr">
        <is>
          <t>VÄSTRA GÖTALANDS LÄN</t>
        </is>
      </c>
      <c r="G309" t="inlineStr">
        <is>
          <t>ALINGSÅS</t>
        </is>
      </c>
      <c r="I309" t="n">
        <v>60.2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S 276-2024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45323</v>
      </c>
      <c r="E310" s="1" t="n">
        <v>46223</v>
      </c>
      <c r="F310" t="inlineStr">
        <is>
          <t>VÄSTRA GÖTALANDS LÄN</t>
        </is>
      </c>
      <c r="G310" t="inlineStr">
        <is>
          <t>ALINGSÅS</t>
        </is>
      </c>
      <c r="I310" t="n">
        <v>8.9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S 640-2024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45355</v>
      </c>
      <c r="E311" s="1" t="n">
        <v>46223</v>
      </c>
      <c r="F311" t="inlineStr">
        <is>
          <t>VÄSTRA GÖTALANDS LÄN</t>
        </is>
      </c>
      <c r="G311" t="inlineStr">
        <is>
          <t>ALINGSÅS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S 1657-2024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45429</v>
      </c>
      <c r="E312" s="1" t="n">
        <v>46223</v>
      </c>
      <c r="F312" t="inlineStr">
        <is>
          <t>VÄSTRA GÖTALANDS LÄN</t>
        </is>
      </c>
      <c r="G312" t="inlineStr">
        <is>
          <t>ALINGSÅS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S 3691-2024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45552</v>
      </c>
      <c r="E313" s="1" t="n">
        <v>46223</v>
      </c>
      <c r="F313" t="inlineStr">
        <is>
          <t>VÄSTRA GÖTALANDS LÄN</t>
        </is>
      </c>
      <c r="G313" t="inlineStr">
        <is>
          <t>ALINGSÅS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S 4831-2022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44804</v>
      </c>
      <c r="E314" s="1" t="n">
        <v>46223</v>
      </c>
      <c r="F314" t="inlineStr">
        <is>
          <t>VÄSTRA GÖTALANDS LÄN</t>
        </is>
      </c>
      <c r="G314" t="inlineStr">
        <is>
          <t>ALINGSÅS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S 278-2024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45323</v>
      </c>
      <c r="E315" s="1" t="n">
        <v>46223</v>
      </c>
      <c r="F315" t="inlineStr">
        <is>
          <t>VÄSTRA GÖTALANDS LÄN</t>
        </is>
      </c>
      <c r="G315" t="inlineStr">
        <is>
          <t>ALINGSÅS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S 639-2024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45355</v>
      </c>
      <c r="E316" s="1" t="n">
        <v>46223</v>
      </c>
      <c r="F316" t="inlineStr">
        <is>
          <t>VÄSTRA GÖTALANDS LÄN</t>
        </is>
      </c>
      <c r="G316" t="inlineStr">
        <is>
          <t>ALINGSÅS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S 1784-2025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45813</v>
      </c>
      <c r="E317" s="1" t="n">
        <v>46223</v>
      </c>
      <c r="F317" t="inlineStr">
        <is>
          <t>VÄSTRA GÖTALANDS LÄN</t>
        </is>
      </c>
      <c r="G317" t="inlineStr">
        <is>
          <t>ALINGSÅS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>
      <c r="A318" t="inlineStr">
        <is>
          <t>S 1043-2023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45010</v>
      </c>
      <c r="E318" s="1" t="n">
        <v>46223</v>
      </c>
      <c r="F318" t="inlineStr">
        <is>
          <t>VÄSTRA GÖTALANDS LÄN</t>
        </is>
      </c>
      <c r="G318" t="inlineStr">
        <is>
          <t>ALINGSÅS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2026-07-20T01:49:01Z</dcterms:created>
  <dcterms:modified xmlns:dcterms="http://purl.org/dc/terms/" xmlns:xsi="http://www.w3.org/2001/XMLSchema-instance" xsi:type="dcterms:W3CDTF">2026-07-20T01:49:01Z</dcterms:modified>
</cp:coreProperties>
</file>