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45753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45753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45753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45753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45753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45753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45753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45753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45753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45753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45753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45753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</v>
      </c>
      <c r="C14" s="1" t="n">
        <v>45753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3636-2025</t>
        </is>
      </c>
      <c r="B15" s="1" t="n">
        <v>45681</v>
      </c>
      <c r="C15" s="1" t="n">
        <v>45753</v>
      </c>
      <c r="D15" t="inlineStr">
        <is>
          <t>VÄSTRA GÖTALANDS LÄN</t>
        </is>
      </c>
      <c r="E15" t="inlineStr">
        <is>
          <t>ALINGSÅS</t>
        </is>
      </c>
      <c r="G15" t="n">
        <v>6.7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Vågbandad barkbock</t>
        </is>
      </c>
      <c r="S15">
        <f>HYPERLINK("https://klasma.github.io/Logging_1489/artfynd/A 3636-2025 artfynd.xlsx", "A 3636-2025")</f>
        <v/>
      </c>
      <c r="T15">
        <f>HYPERLINK("https://klasma.github.io/Logging_1489/kartor/A 3636-2025 karta.png", "A 3636-2025")</f>
        <v/>
      </c>
      <c r="V15">
        <f>HYPERLINK("https://klasma.github.io/Logging_1489/klagomål/A 3636-2025 FSC-klagomål.docx", "A 3636-2025")</f>
        <v/>
      </c>
      <c r="W15">
        <f>HYPERLINK("https://klasma.github.io/Logging_1489/klagomålsmail/A 3636-2025 FSC-klagomål mail.docx", "A 3636-2025")</f>
        <v/>
      </c>
      <c r="X15">
        <f>HYPERLINK("https://klasma.github.io/Logging_1489/tillsyn/A 3636-2025 tillsynsbegäran.docx", "A 3636-2025")</f>
        <v/>
      </c>
      <c r="Y15">
        <f>HYPERLINK("https://klasma.github.io/Logging_1489/tillsynsmail/A 3636-2025 tillsynsbegäran mail.docx", "A 3636-2025")</f>
        <v/>
      </c>
    </row>
    <row r="16" ht="15" customHeight="1">
      <c r="A16" t="inlineStr">
        <is>
          <t>A 24498-2020</t>
        </is>
      </c>
      <c r="B16" s="1" t="n">
        <v>43975</v>
      </c>
      <c r="C16" s="1" t="n">
        <v>45753</v>
      </c>
      <c r="D16" t="inlineStr">
        <is>
          <t>VÄSTRA GÖTALANDS LÄN</t>
        </is>
      </c>
      <c r="E16" t="inlineStr">
        <is>
          <t>ALINGSÅS</t>
        </is>
      </c>
      <c r="G16" t="n">
        <v>1.5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24498-2020 artfynd.xlsx", "A 24498-2020")</f>
        <v/>
      </c>
      <c r="T16">
        <f>HYPERLINK("https://klasma.github.io/Logging_1489/kartor/A 24498-2020 karta.png", "A 24498-2020")</f>
        <v/>
      </c>
      <c r="U16">
        <f>HYPERLINK("https://klasma.github.io/Logging_1489/knärot/A 24498-2020 karta knärot.png", "A 24498-2020")</f>
        <v/>
      </c>
      <c r="V16">
        <f>HYPERLINK("https://klasma.github.io/Logging_1489/klagomål/A 24498-2020 FSC-klagomål.docx", "A 24498-2020")</f>
        <v/>
      </c>
      <c r="W16">
        <f>HYPERLINK("https://klasma.github.io/Logging_1489/klagomålsmail/A 24498-2020 FSC-klagomål mail.docx", "A 24498-2020")</f>
        <v/>
      </c>
      <c r="X16">
        <f>HYPERLINK("https://klasma.github.io/Logging_1489/tillsyn/A 24498-2020 tillsynsbegäran.docx", "A 24498-2020")</f>
        <v/>
      </c>
      <c r="Y16">
        <f>HYPERLINK("https://klasma.github.io/Logging_1489/tillsynsmail/A 24498-2020 tillsynsbegäran mail.docx", "A 24498-2020")</f>
        <v/>
      </c>
    </row>
    <row r="17" ht="15" customHeight="1">
      <c r="A17" t="inlineStr">
        <is>
          <t>A 26240-2020</t>
        </is>
      </c>
      <c r="B17" s="1" t="n">
        <v>43986</v>
      </c>
      <c r="C17" s="1" t="n">
        <v>45753</v>
      </c>
      <c r="D17" t="inlineStr">
        <is>
          <t>VÄSTRA GÖTALANDS LÄN</t>
        </is>
      </c>
      <c r="E17" t="inlineStr">
        <is>
          <t>ALINGSÅS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Kastanjesopp</t>
        </is>
      </c>
      <c r="S17">
        <f>HYPERLINK("https://klasma.github.io/Logging_1489/artfynd/A 26240-2020 artfynd.xlsx", "A 26240-2020")</f>
        <v/>
      </c>
      <c r="T17">
        <f>HYPERLINK("https://klasma.github.io/Logging_1489/kartor/A 26240-2020 karta.png", "A 26240-2020")</f>
        <v/>
      </c>
      <c r="V17">
        <f>HYPERLINK("https://klasma.github.io/Logging_1489/klagomål/A 26240-2020 FSC-klagomål.docx", "A 26240-2020")</f>
        <v/>
      </c>
      <c r="W17">
        <f>HYPERLINK("https://klasma.github.io/Logging_1489/klagomålsmail/A 26240-2020 FSC-klagomål mail.docx", "A 26240-2020")</f>
        <v/>
      </c>
      <c r="X17">
        <f>HYPERLINK("https://klasma.github.io/Logging_1489/tillsyn/A 26240-2020 tillsynsbegäran.docx", "A 26240-2020")</f>
        <v/>
      </c>
      <c r="Y17">
        <f>HYPERLINK("https://klasma.github.io/Logging_1489/tillsynsmail/A 26240-2020 tillsynsbegäran mail.docx", "A 26240-2020")</f>
        <v/>
      </c>
    </row>
    <row r="18" ht="15" customHeight="1">
      <c r="A18" t="inlineStr">
        <is>
          <t>A 27585-2020</t>
        </is>
      </c>
      <c r="B18" s="1" t="n">
        <v>43993</v>
      </c>
      <c r="C18" s="1" t="n">
        <v>45753</v>
      </c>
      <c r="D18" t="inlineStr">
        <is>
          <t>VÄSTRA GÖTALANDS LÄN</t>
        </is>
      </c>
      <c r="E18" t="inlineStr">
        <is>
          <t>ALINGSÅS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Lindskål</t>
        </is>
      </c>
      <c r="S18">
        <f>HYPERLINK("https://klasma.github.io/Logging_1489/artfynd/A 27585-2020 artfynd.xlsx", "A 27585-2020")</f>
        <v/>
      </c>
      <c r="T18">
        <f>HYPERLINK("https://klasma.github.io/Logging_1489/kartor/A 27585-2020 karta.png", "A 27585-2020")</f>
        <v/>
      </c>
      <c r="V18">
        <f>HYPERLINK("https://klasma.github.io/Logging_1489/klagomål/A 27585-2020 FSC-klagomål.docx", "A 27585-2020")</f>
        <v/>
      </c>
      <c r="W18">
        <f>HYPERLINK("https://klasma.github.io/Logging_1489/klagomålsmail/A 27585-2020 FSC-klagomål mail.docx", "A 27585-2020")</f>
        <v/>
      </c>
      <c r="X18">
        <f>HYPERLINK("https://klasma.github.io/Logging_1489/tillsyn/A 27585-2020 tillsynsbegäran.docx", "A 27585-2020")</f>
        <v/>
      </c>
      <c r="Y18">
        <f>HYPERLINK("https://klasma.github.io/Logging_1489/tillsynsmail/A 27585-2020 tillsynsbegäran mail.docx", "A 27585-2020")</f>
        <v/>
      </c>
    </row>
    <row r="19" ht="15" customHeight="1">
      <c r="A19" t="inlineStr">
        <is>
          <t>A 8209-2021</t>
        </is>
      </c>
      <c r="B19" s="1" t="n">
        <v>44244</v>
      </c>
      <c r="C19" s="1" t="n">
        <v>45753</v>
      </c>
      <c r="D19" t="inlineStr">
        <is>
          <t>VÄSTRA GÖTALANDS LÄN</t>
        </is>
      </c>
      <c r="E19" t="inlineStr">
        <is>
          <t>ALINGSÅS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Björktrast</t>
        </is>
      </c>
      <c r="S19">
        <f>HYPERLINK("https://klasma.github.io/Logging_1489/artfynd/A 8209-2021 artfynd.xlsx", "A 8209-2021")</f>
        <v/>
      </c>
      <c r="T19">
        <f>HYPERLINK("https://klasma.github.io/Logging_1489/kartor/A 8209-2021 karta.png", "A 8209-2021")</f>
        <v/>
      </c>
      <c r="V19">
        <f>HYPERLINK("https://klasma.github.io/Logging_1489/klagomål/A 8209-2021 FSC-klagomål.docx", "A 8209-2021")</f>
        <v/>
      </c>
      <c r="W19">
        <f>HYPERLINK("https://klasma.github.io/Logging_1489/klagomålsmail/A 8209-2021 FSC-klagomål mail.docx", "A 8209-2021")</f>
        <v/>
      </c>
      <c r="X19">
        <f>HYPERLINK("https://klasma.github.io/Logging_1489/tillsyn/A 8209-2021 tillsynsbegäran.docx", "A 8209-2021")</f>
        <v/>
      </c>
      <c r="Y19">
        <f>HYPERLINK("https://klasma.github.io/Logging_1489/tillsynsmail/A 8209-2021 tillsynsbegäran mail.docx", "A 8209-2021")</f>
        <v/>
      </c>
      <c r="Z19">
        <f>HYPERLINK("https://klasma.github.io/Logging_1489/fåglar/A 8209-2021 prioriterade fågelarter.docx", "A 8209-2021")</f>
        <v/>
      </c>
    </row>
    <row r="20" ht="15" customHeight="1">
      <c r="A20" t="inlineStr">
        <is>
          <t>A 46768-2022</t>
        </is>
      </c>
      <c r="B20" s="1" t="n">
        <v>44848</v>
      </c>
      <c r="C20" s="1" t="n">
        <v>45753</v>
      </c>
      <c r="D20" t="inlineStr">
        <is>
          <t>VÄSTRA GÖTALANDS LÄN</t>
        </is>
      </c>
      <c r="E20" t="inlineStr">
        <is>
          <t>ALINGSÅS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Flodkräfta</t>
        </is>
      </c>
      <c r="S20">
        <f>HYPERLINK("https://klasma.github.io/Logging_1489/artfynd/A 46768-2022 artfynd.xlsx", "A 46768-2022")</f>
        <v/>
      </c>
      <c r="T20">
        <f>HYPERLINK("https://klasma.github.io/Logging_1489/kartor/A 46768-2022 karta.png", "A 46768-2022")</f>
        <v/>
      </c>
      <c r="V20">
        <f>HYPERLINK("https://klasma.github.io/Logging_1489/klagomål/A 46768-2022 FSC-klagomål.docx", "A 46768-2022")</f>
        <v/>
      </c>
      <c r="W20">
        <f>HYPERLINK("https://klasma.github.io/Logging_1489/klagomålsmail/A 46768-2022 FSC-klagomål mail.docx", "A 46768-2022")</f>
        <v/>
      </c>
      <c r="X20">
        <f>HYPERLINK("https://klasma.github.io/Logging_1489/tillsyn/A 46768-2022 tillsynsbegäran.docx", "A 46768-2022")</f>
        <v/>
      </c>
      <c r="Y20">
        <f>HYPERLINK("https://klasma.github.io/Logging_1489/tillsynsmail/A 46768-2022 tillsynsbegäran mail.docx", "A 46768-2022")</f>
        <v/>
      </c>
    </row>
    <row r="21" ht="15" customHeight="1">
      <c r="A21" t="inlineStr">
        <is>
          <t>A 26384-2023</t>
        </is>
      </c>
      <c r="B21" s="1" t="n">
        <v>45092</v>
      </c>
      <c r="C21" s="1" t="n">
        <v>45753</v>
      </c>
      <c r="D21" t="inlineStr">
        <is>
          <t>VÄSTRA GÖTALANDS LÄN</t>
        </is>
      </c>
      <c r="E21" t="inlineStr">
        <is>
          <t>ALINGSÅS</t>
        </is>
      </c>
      <c r="G21" t="n">
        <v>4.3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HYPERLINK("https://klasma.github.io/Logging_1489/artfynd/A 26384-2023 artfynd.xlsx", "A 26384-2023")</f>
        <v/>
      </c>
      <c r="T21">
        <f>HYPERLINK("https://klasma.github.io/Logging_1489/kartor/A 26384-2023 karta.png", "A 26384-2023")</f>
        <v/>
      </c>
      <c r="V21">
        <f>HYPERLINK("https://klasma.github.io/Logging_1489/klagomål/A 26384-2023 FSC-klagomål.docx", "A 26384-2023")</f>
        <v/>
      </c>
      <c r="W21">
        <f>HYPERLINK("https://klasma.github.io/Logging_1489/klagomålsmail/A 26384-2023 FSC-klagomål mail.docx", "A 26384-2023")</f>
        <v/>
      </c>
      <c r="X21">
        <f>HYPERLINK("https://klasma.github.io/Logging_1489/tillsyn/A 26384-2023 tillsynsbegäran.docx", "A 26384-2023")</f>
        <v/>
      </c>
      <c r="Y21">
        <f>HYPERLINK("https://klasma.github.io/Logging_1489/tillsynsmail/A 26384-2023 tillsynsbegäran mail.docx", "A 26384-2023")</f>
        <v/>
      </c>
      <c r="Z21">
        <f>HYPERLINK("https://klasma.github.io/Logging_1489/fåglar/A 26384-2023 prioriterade fågelarter.docx", "A 26384-2023")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45753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45753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45753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45753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45753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45753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45753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45753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45753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45753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45753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45753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45753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45753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45753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45753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45753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45753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45753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45753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45753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45753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45753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45753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45753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45753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45753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45753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45753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45753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45753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45753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45753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45753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45753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45753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45753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45753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45753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45753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45753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45753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45753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45753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45753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45753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45753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45753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45753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45753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45753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45753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45753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45753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45753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45753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45753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45753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45753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45753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45753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45753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45753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45753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45753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45753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45753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45753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45753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45753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45753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45753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45753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45753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45753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45753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45753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45753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45753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45753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45753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45753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45753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45753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45753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45753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45753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45753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45753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45753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45753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45753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45753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45753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45753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45753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45753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45753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45753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45753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45753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45753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45753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45753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45753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45753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45753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45753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45753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45753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45753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45753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45753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45753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45753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45753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45753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45753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45753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45753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45753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45753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45753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45753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45753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45753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45753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45753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45753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45753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45753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45753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45753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45753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45753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45753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45753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45753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45753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45753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45753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45753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45753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45753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45753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45753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45753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45753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45753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45753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45753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45753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45753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45753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45753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45753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45753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45753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45753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45753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45753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45753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45753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45753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45753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45753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45753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45753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45753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45753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45753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45753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45753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45753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45753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45753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45753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45753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45753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45753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45753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45753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45753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45753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45753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45753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45753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45753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45753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45753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45753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45753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45753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45753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45753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45753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45753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45753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45753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45753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45753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45753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45753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45753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45753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45753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45753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45753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45753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45753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45753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45753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45753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45753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45753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45753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45753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45753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45753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45753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45753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45753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45753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45753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45753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45753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45753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45753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45753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45753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45753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45753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45753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45753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45753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45753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45753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45753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45753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45753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45753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45753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45753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45753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45753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45753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45753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45753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45753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45753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45753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45753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45753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45753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45753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45753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45753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45753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45753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45753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45753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45753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45753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45753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45753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45753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45753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45753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45753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45753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45753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45753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45753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45753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45753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45753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45753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45753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45753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45753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45753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45753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45753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45753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45753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45753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45753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45753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45753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45753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45753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45753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45753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45753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45753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45753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45753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45753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45753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45753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45753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45753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45753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45753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45753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45753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45753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45753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45753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45753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45753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45753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45753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45753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45753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45753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45753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45753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45753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45753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45753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45753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45753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45753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45753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45753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45753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45753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45753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45753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45753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45753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45753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45753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45753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45753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45753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45753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45753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45753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45753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45753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45753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45753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45753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45753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45753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45753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45753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45753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45753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45753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45753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45753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45753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45753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45753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45753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45753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45753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45753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45753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45753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45753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45753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45753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45753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45753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45753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45753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45753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45753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45753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45753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45753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45753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45753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45753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45753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45753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45753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45753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45753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45753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45753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45753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45753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45753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45753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45753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45753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45753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45753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45753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45753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45753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45753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45753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45753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45753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45753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45753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45753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45753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45753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45753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45753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45753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45753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45753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45753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45753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45753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45753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45753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45753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45753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45753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45753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45753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45753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45753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45753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45753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45753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45753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45753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45753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45753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45753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45753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45753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45753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45753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45753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45753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45753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45753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45753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45753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45753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45753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45753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45753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45753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45753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45753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45753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45753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45753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45753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45753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45753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45753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45753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45753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45753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45753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45753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45753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45753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45753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45753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45753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45753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45753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45753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45753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45753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45753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45753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45753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45753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45753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45753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45753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45753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45753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45753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45753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45753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45753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45753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45753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45753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45753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45753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2187-2025</t>
        </is>
      </c>
      <c r="B509" s="1" t="n">
        <v>45673</v>
      </c>
      <c r="C509" s="1" t="n">
        <v>45753</v>
      </c>
      <c r="D509" t="inlineStr">
        <is>
          <t>VÄSTRA GÖTALANDS LÄN</t>
        </is>
      </c>
      <c r="E509" t="inlineStr">
        <is>
          <t>ALINGSÅS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2168-2025</t>
        </is>
      </c>
      <c r="B510" s="1" t="n">
        <v>45673</v>
      </c>
      <c r="C510" s="1" t="n">
        <v>45753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2167-2025</t>
        </is>
      </c>
      <c r="B511" s="1" t="n">
        <v>45673</v>
      </c>
      <c r="C511" s="1" t="n">
        <v>45753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45753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45753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3769-2025</t>
        </is>
      </c>
      <c r="B514" s="1" t="n">
        <v>45681</v>
      </c>
      <c r="C514" s="1" t="n">
        <v>45753</v>
      </c>
      <c r="D514" t="inlineStr">
        <is>
          <t>VÄSTRA GÖTALANDS LÄN</t>
        </is>
      </c>
      <c r="E514" t="inlineStr">
        <is>
          <t>ALINGSÅS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3748-2025</t>
        </is>
      </c>
      <c r="B515" s="1" t="n">
        <v>45681</v>
      </c>
      <c r="C515" s="1" t="n">
        <v>45753</v>
      </c>
      <c r="D515" t="inlineStr">
        <is>
          <t>VÄSTRA GÖTALANDS LÄN</t>
        </is>
      </c>
      <c r="E515" t="inlineStr">
        <is>
          <t>ALINGSÅS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3736-2025</t>
        </is>
      </c>
      <c r="B516" s="1" t="n">
        <v>45681</v>
      </c>
      <c r="C516" s="1" t="n">
        <v>45753</v>
      </c>
      <c r="D516" t="inlineStr">
        <is>
          <t>VÄSTRA GÖTALANDS LÄN</t>
        </is>
      </c>
      <c r="E516" t="inlineStr">
        <is>
          <t>ALINGSÅS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3618-2025</t>
        </is>
      </c>
      <c r="B517" s="1" t="n">
        <v>45681</v>
      </c>
      <c r="C517" s="1" t="n">
        <v>45753</v>
      </c>
      <c r="D517" t="inlineStr">
        <is>
          <t>VÄSTRA GÖTALANDS LÄN</t>
        </is>
      </c>
      <c r="E517" t="inlineStr">
        <is>
          <t>ALINGSÅS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4371-2025</t>
        </is>
      </c>
      <c r="B518" s="1" t="n">
        <v>45686</v>
      </c>
      <c r="C518" s="1" t="n">
        <v>45753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4664-2025</t>
        </is>
      </c>
      <c r="B519" s="1" t="n">
        <v>45687</v>
      </c>
      <c r="C519" s="1" t="n">
        <v>45753</v>
      </c>
      <c r="D519" t="inlineStr">
        <is>
          <t>VÄSTRA GÖTALANDS LÄN</t>
        </is>
      </c>
      <c r="E519" t="inlineStr">
        <is>
          <t>ALINGSÅS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4661-2025</t>
        </is>
      </c>
      <c r="B520" s="1" t="n">
        <v>45687</v>
      </c>
      <c r="C520" s="1" t="n">
        <v>45753</v>
      </c>
      <c r="D520" t="inlineStr">
        <is>
          <t>VÄSTRA GÖTALANDS LÄN</t>
        </is>
      </c>
      <c r="E520" t="inlineStr">
        <is>
          <t>ALINGSÅS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4702-2025</t>
        </is>
      </c>
      <c r="B521" s="1" t="n">
        <v>45688</v>
      </c>
      <c r="C521" s="1" t="n">
        <v>45753</v>
      </c>
      <c r="D521" t="inlineStr">
        <is>
          <t>VÄSTRA GÖTALANDS LÄN</t>
        </is>
      </c>
      <c r="E521" t="inlineStr">
        <is>
          <t>ALINGSÅS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5664-2025</t>
        </is>
      </c>
      <c r="B522" s="1" t="n">
        <v>45693</v>
      </c>
      <c r="C522" s="1" t="n">
        <v>45753</v>
      </c>
      <c r="D522" t="inlineStr">
        <is>
          <t>VÄSTRA GÖTALANDS LÄN</t>
        </is>
      </c>
      <c r="E522" t="inlineStr">
        <is>
          <t>ALINGSÅS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5559-2025</t>
        </is>
      </c>
      <c r="B523" s="1" t="n">
        <v>45693</v>
      </c>
      <c r="C523" s="1" t="n">
        <v>45753</v>
      </c>
      <c r="D523" t="inlineStr">
        <is>
          <t>VÄSTRA GÖTALANDS LÄN</t>
        </is>
      </c>
      <c r="E523" t="inlineStr">
        <is>
          <t>ALINGSÅS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5710-2025</t>
        </is>
      </c>
      <c r="B524" s="1" t="n">
        <v>45694</v>
      </c>
      <c r="C524" s="1" t="n">
        <v>45753</v>
      </c>
      <c r="D524" t="inlineStr">
        <is>
          <t>VÄSTRA GÖTALANDS LÄN</t>
        </is>
      </c>
      <c r="E524" t="inlineStr">
        <is>
          <t>ALINGSÅS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6341-2025</t>
        </is>
      </c>
      <c r="B525" s="1" t="n">
        <v>45699</v>
      </c>
      <c r="C525" s="1" t="n">
        <v>45753</v>
      </c>
      <c r="D525" t="inlineStr">
        <is>
          <t>VÄSTRA GÖTALANDS LÄN</t>
        </is>
      </c>
      <c r="E525" t="inlineStr">
        <is>
          <t>ALINGSÅS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6841-2025</t>
        </is>
      </c>
      <c r="B526" s="1" t="n">
        <v>45700</v>
      </c>
      <c r="C526" s="1" t="n">
        <v>45753</v>
      </c>
      <c r="D526" t="inlineStr">
        <is>
          <t>VÄSTRA GÖTALANDS LÄN</t>
        </is>
      </c>
      <c r="E526" t="inlineStr">
        <is>
          <t>ALINGSÅS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6842-2025</t>
        </is>
      </c>
      <c r="B527" s="1" t="n">
        <v>45700</v>
      </c>
      <c r="C527" s="1" t="n">
        <v>45753</v>
      </c>
      <c r="D527" t="inlineStr">
        <is>
          <t>VÄSTRA GÖTALANDS LÄN</t>
        </is>
      </c>
      <c r="E527" t="inlineStr">
        <is>
          <t>ALINGSÅS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7631-2025</t>
        </is>
      </c>
      <c r="B528" s="1" t="n">
        <v>45705</v>
      </c>
      <c r="C528" s="1" t="n">
        <v>45753</v>
      </c>
      <c r="D528" t="inlineStr">
        <is>
          <t>VÄSTRA GÖTALANDS LÄN</t>
        </is>
      </c>
      <c r="E528" t="inlineStr">
        <is>
          <t>ALINGSÅS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7805-2025</t>
        </is>
      </c>
      <c r="B529" s="1" t="n">
        <v>45706</v>
      </c>
      <c r="C529" s="1" t="n">
        <v>45753</v>
      </c>
      <c r="D529" t="inlineStr">
        <is>
          <t>VÄSTRA GÖTALANDS LÄN</t>
        </is>
      </c>
      <c r="E529" t="inlineStr">
        <is>
          <t>ALINGSÅS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8234-2025</t>
        </is>
      </c>
      <c r="B530" s="1" t="n">
        <v>45708</v>
      </c>
      <c r="C530" s="1" t="n">
        <v>45753</v>
      </c>
      <c r="D530" t="inlineStr">
        <is>
          <t>VÄSTRA GÖTALANDS LÄN</t>
        </is>
      </c>
      <c r="E530" t="inlineStr">
        <is>
          <t>ALINGSÅS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8210-2025</t>
        </is>
      </c>
      <c r="B531" s="1" t="n">
        <v>45708</v>
      </c>
      <c r="C531" s="1" t="n">
        <v>45753</v>
      </c>
      <c r="D531" t="inlineStr">
        <is>
          <t>VÄSTRA GÖTALANDS LÄN</t>
        </is>
      </c>
      <c r="E531" t="inlineStr">
        <is>
          <t>ALINGSÅS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8498-2025</t>
        </is>
      </c>
      <c r="B532" s="1" t="n">
        <v>45709</v>
      </c>
      <c r="C532" s="1" t="n">
        <v>45753</v>
      </c>
      <c r="D532" t="inlineStr">
        <is>
          <t>VÄSTRA GÖTALANDS LÄN</t>
        </is>
      </c>
      <c r="E532" t="inlineStr">
        <is>
          <t>ALINGSÅS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9851-2025</t>
        </is>
      </c>
      <c r="B533" s="1" t="n">
        <v>45716</v>
      </c>
      <c r="C533" s="1" t="n">
        <v>45753</v>
      </c>
      <c r="D533" t="inlineStr">
        <is>
          <t>VÄSTRA GÖTALANDS LÄN</t>
        </is>
      </c>
      <c r="E533" t="inlineStr">
        <is>
          <t>ALINGSÅS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10541-2025</t>
        </is>
      </c>
      <c r="B534" s="1" t="n">
        <v>45721</v>
      </c>
      <c r="C534" s="1" t="n">
        <v>45753</v>
      </c>
      <c r="D534" t="inlineStr">
        <is>
          <t>VÄSTRA GÖTALANDS LÄN</t>
        </is>
      </c>
      <c r="E534" t="inlineStr">
        <is>
          <t>ALINGSÅS</t>
        </is>
      </c>
      <c r="F534" t="inlineStr">
        <is>
          <t>Kyrkan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10587-2025</t>
        </is>
      </c>
      <c r="B535" s="1" t="n">
        <v>45721</v>
      </c>
      <c r="C535" s="1" t="n">
        <v>45753</v>
      </c>
      <c r="D535" t="inlineStr">
        <is>
          <t>VÄSTRA GÖTALANDS LÄN</t>
        </is>
      </c>
      <c r="E535" t="inlineStr">
        <is>
          <t>ALINGSÅS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10847-2025</t>
        </is>
      </c>
      <c r="B536" s="1" t="n">
        <v>45722</v>
      </c>
      <c r="C536" s="1" t="n">
        <v>45753</v>
      </c>
      <c r="D536" t="inlineStr">
        <is>
          <t>VÄSTRA GÖTALANDS LÄN</t>
        </is>
      </c>
      <c r="E536" t="inlineStr">
        <is>
          <t>ALINGSÅS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10916-2025</t>
        </is>
      </c>
      <c r="B537" s="1" t="n">
        <v>45722</v>
      </c>
      <c r="C537" s="1" t="n">
        <v>45753</v>
      </c>
      <c r="D537" t="inlineStr">
        <is>
          <t>VÄSTRA GÖTALANDS LÄN</t>
        </is>
      </c>
      <c r="E537" t="inlineStr">
        <is>
          <t>ALINGSÅS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11127-2025</t>
        </is>
      </c>
      <c r="B538" s="1" t="n">
        <v>45723</v>
      </c>
      <c r="C538" s="1" t="n">
        <v>45753</v>
      </c>
      <c r="D538" t="inlineStr">
        <is>
          <t>VÄSTRA GÖTALANDS LÄN</t>
        </is>
      </c>
      <c r="E538" t="inlineStr">
        <is>
          <t>ALINGSÅS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11462-2025</t>
        </is>
      </c>
      <c r="B539" s="1" t="n">
        <v>45726</v>
      </c>
      <c r="C539" s="1" t="n">
        <v>45753</v>
      </c>
      <c r="D539" t="inlineStr">
        <is>
          <t>VÄSTRA GÖTALANDS LÄN</t>
        </is>
      </c>
      <c r="E539" t="inlineStr">
        <is>
          <t>ALINGSÅS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11388-2025</t>
        </is>
      </c>
      <c r="B540" s="1" t="n">
        <v>45726</v>
      </c>
      <c r="C540" s="1" t="n">
        <v>45753</v>
      </c>
      <c r="D540" t="inlineStr">
        <is>
          <t>VÄSTRA GÖTALANDS LÄN</t>
        </is>
      </c>
      <c r="E540" t="inlineStr">
        <is>
          <t>ALINGSÅS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11459-2025</t>
        </is>
      </c>
      <c r="B541" s="1" t="n">
        <v>45726</v>
      </c>
      <c r="C541" s="1" t="n">
        <v>45753</v>
      </c>
      <c r="D541" t="inlineStr">
        <is>
          <t>VÄSTRA GÖTALANDS LÄN</t>
        </is>
      </c>
      <c r="E541" t="inlineStr">
        <is>
          <t>ALINGSÅS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11458-2025</t>
        </is>
      </c>
      <c r="B542" s="1" t="n">
        <v>45726</v>
      </c>
      <c r="C542" s="1" t="n">
        <v>45753</v>
      </c>
      <c r="D542" t="inlineStr">
        <is>
          <t>VÄSTRA GÖTALANDS LÄN</t>
        </is>
      </c>
      <c r="E542" t="inlineStr">
        <is>
          <t>ALINGSÅS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12968-2025</t>
        </is>
      </c>
      <c r="B543" s="1" t="n">
        <v>45734</v>
      </c>
      <c r="C543" s="1" t="n">
        <v>45753</v>
      </c>
      <c r="D543" t="inlineStr">
        <is>
          <t>VÄSTRA GÖTALANDS LÄN</t>
        </is>
      </c>
      <c r="E543" t="inlineStr">
        <is>
          <t>ALINGSÅS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13699-2025</t>
        </is>
      </c>
      <c r="B544" s="1" t="n">
        <v>45737</v>
      </c>
      <c r="C544" s="1" t="n">
        <v>45753</v>
      </c>
      <c r="D544" t="inlineStr">
        <is>
          <t>VÄSTRA GÖTALANDS LÄN</t>
        </is>
      </c>
      <c r="E544" t="inlineStr">
        <is>
          <t>ALINGSÅS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15802-2025</t>
        </is>
      </c>
      <c r="B545" s="1" t="n">
        <v>45748</v>
      </c>
      <c r="C545" s="1" t="n">
        <v>45753</v>
      </c>
      <c r="D545" t="inlineStr">
        <is>
          <t>VÄSTRA GÖTALANDS LÄN</t>
        </is>
      </c>
      <c r="E545" t="inlineStr">
        <is>
          <t>ALINGSÅS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16087-2025</t>
        </is>
      </c>
      <c r="B546" s="1" t="n">
        <v>45749</v>
      </c>
      <c r="C546" s="1" t="n">
        <v>45753</v>
      </c>
      <c r="D546" t="inlineStr">
        <is>
          <t>VÄSTRA GÖTALANDS LÄN</t>
        </is>
      </c>
      <c r="E546" t="inlineStr">
        <is>
          <t>ALINGSÅS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16088-2025</t>
        </is>
      </c>
      <c r="B547" s="1" t="n">
        <v>45749</v>
      </c>
      <c r="C547" s="1" t="n">
        <v>45753</v>
      </c>
      <c r="D547" t="inlineStr">
        <is>
          <t>VÄSTRA GÖTALANDS LÄN</t>
        </is>
      </c>
      <c r="E547" t="inlineStr">
        <is>
          <t>ALINGSÅS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16209-2025</t>
        </is>
      </c>
      <c r="B548" s="1" t="n">
        <v>45750</v>
      </c>
      <c r="C548" s="1" t="n">
        <v>45753</v>
      </c>
      <c r="D548" t="inlineStr">
        <is>
          <t>VÄSTRA GÖTALANDS LÄN</t>
        </is>
      </c>
      <c r="E548" t="inlineStr">
        <is>
          <t>ALINGSÅS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16490-2025</t>
        </is>
      </c>
      <c r="B549" s="1" t="n">
        <v>45751</v>
      </c>
      <c r="C549" s="1" t="n">
        <v>45753</v>
      </c>
      <c r="D549" t="inlineStr">
        <is>
          <t>VÄSTRA GÖTALANDS LÄN</t>
        </is>
      </c>
      <c r="E549" t="inlineStr">
        <is>
          <t>ALINGSÅS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16583-2025</t>
        </is>
      </c>
      <c r="B550" s="1" t="n">
        <v>45752</v>
      </c>
      <c r="C550" s="1" t="n">
        <v>45753</v>
      </c>
      <c r="D550" t="inlineStr">
        <is>
          <t>VÄSTRA GÖTALANDS LÄN</t>
        </is>
      </c>
      <c r="E550" t="inlineStr">
        <is>
          <t>ALINGSÅS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16584-2025</t>
        </is>
      </c>
      <c r="B551" s="1" t="n">
        <v>45752</v>
      </c>
      <c r="C551" s="1" t="n">
        <v>45753</v>
      </c>
      <c r="D551" t="inlineStr">
        <is>
          <t>VÄSTRA GÖTALANDS LÄN</t>
        </is>
      </c>
      <c r="E551" t="inlineStr">
        <is>
          <t>ALINGSÅS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16585-2025</t>
        </is>
      </c>
      <c r="B552" s="1" t="n">
        <v>45752</v>
      </c>
      <c r="C552" s="1" t="n">
        <v>45753</v>
      </c>
      <c r="D552" t="inlineStr">
        <is>
          <t>VÄSTRA GÖTALANDS LÄN</t>
        </is>
      </c>
      <c r="E552" t="inlineStr">
        <is>
          <t>ALINGSÅS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2025-04-06T16:44:15Z</dcterms:created>
  <dcterms:modified xmlns:dcterms="http://purl.org/dc/terms/" xmlns:xsi="http://www.w3.org/2001/XMLSchema-instance" xsi:type="dcterms:W3CDTF">2025-04-06T16:44:15Z</dcterms:modified>
</cp:coreProperties>
</file>