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46217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46217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46217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46217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46217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46217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46217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46217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46217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s="2" t="inlineStr">
        <is>
          <t>Sammetstaggsvamp
Dofttaggsvamp
Dropptaggsvamp
Svartvit taggsvamp</t>
        </is>
      </c>
      <c r="V10">
        <f>HYPERLINK("https://klasma.github.io/Logging_1489/artfynd/A 36195-2022 artfynd.xlsx", "A 36195-2022")</f>
        <v/>
      </c>
      <c r="W10">
        <f>HYPERLINK("https://klasma.github.io/Logging_1489/kartor/A 36195-2022 karta.png", "A 36195-2022")</f>
        <v/>
      </c>
      <c r="Y10">
        <f>HYPERLINK("https://klasma.github.io/Logging_1489/klagomål/A 36195-2022 FSC-klagomål.docx", "A 36195-2022")</f>
        <v/>
      </c>
      <c r="Z10">
        <f>HYPERLINK("https://klasma.github.io/Logging_1489/klagomålsmail/A 36195-2022 FSC-klagomål mail.docx", "A 36195-2022")</f>
        <v/>
      </c>
      <c r="AA10">
        <f>HYPERLINK("https://klasma.github.io/Logging_1489/tillsyn/A 36195-2022 tillsynsbegäran.docx", "A 36195-2022")</f>
        <v/>
      </c>
      <c r="AB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46217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Grönsångare
Kråka
Kungsfågel
Svartvit flugsnappare</t>
        </is>
      </c>
      <c r="V11">
        <f>HYPERLINK("https://klasma.github.io/Logging_1489/artfynd/A 64082-2023 artfynd.xlsx", "A 64082-2023")</f>
        <v/>
      </c>
      <c r="W11">
        <f>HYPERLINK("https://klasma.github.io/Logging_1489/kartor/A 64082-2023 karta.png", "A 64082-2023")</f>
        <v/>
      </c>
      <c r="Y11">
        <f>HYPERLINK("https://klasma.github.io/Logging_1489/klagomål/A 64082-2023 FSC-klagomål.docx", "A 64082-2023")</f>
        <v/>
      </c>
      <c r="Z11">
        <f>HYPERLINK("https://klasma.github.io/Logging_1489/klagomålsmail/A 64082-2023 FSC-klagomål mail.docx", "A 64082-2023")</f>
        <v/>
      </c>
      <c r="AA11">
        <f>HYPERLINK("https://klasma.github.io/Logging_1489/tillsyn/A 64082-2023 tillsynsbegäran.docx", "A 64082-2023")</f>
        <v/>
      </c>
      <c r="AB11">
        <f>HYPERLINK("https://klasma.github.io/Logging_1489/tillsynsmail/A 64082-2023 tillsynsbegäran mail.docx", "A 64082-2023")</f>
        <v/>
      </c>
      <c r="AC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46217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s="2" t="inlineStr">
        <is>
          <t>Grönsångare
Nordfladdermus
Mattlummer
Kungsfågel</t>
        </is>
      </c>
      <c r="V12">
        <f>HYPERLINK("https://klasma.github.io/Logging_1489/artfynd/A 63493-2023 artfynd.xlsx", "A 63493-2023")</f>
        <v/>
      </c>
      <c r="W12">
        <f>HYPERLINK("https://klasma.github.io/Logging_1489/kartor/A 63493-2023 karta.png", "A 63493-2023")</f>
        <v/>
      </c>
      <c r="Y12">
        <f>HYPERLINK("https://klasma.github.io/Logging_1489/klagomål/A 63493-2023 FSC-klagomål.docx", "A 63493-2023")</f>
        <v/>
      </c>
      <c r="Z12">
        <f>HYPERLINK("https://klasma.github.io/Logging_1489/klagomålsmail/A 63493-2023 FSC-klagomål mail.docx", "A 63493-2023")</f>
        <v/>
      </c>
      <c r="AA12">
        <f>HYPERLINK("https://klasma.github.io/Logging_1489/tillsyn/A 63493-2023 tillsynsbegäran.docx", "A 63493-2023")</f>
        <v/>
      </c>
      <c r="AB12">
        <f>HYPERLINK("https://klasma.github.io/Logging_1489/tillsynsmail/A 63493-2023 tillsynsbegäran mail.docx", "A 63493-2023")</f>
        <v/>
      </c>
      <c r="AC12">
        <f>HYPERLINK("https://klasma.github.io/Logging_1489/fåglar/A 63493-2023 prioriterade fågelarter.docx", "A 63493-2023")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46217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Göktyta
Törnskata
Ärtsångare</t>
        </is>
      </c>
      <c r="V13">
        <f>HYPERLINK("https://klasma.github.io/Logging_1489/artfynd/A 21662-2024 artfynd.xlsx", "A 21662-2024")</f>
        <v/>
      </c>
      <c r="W13">
        <f>HYPERLINK("https://klasma.github.io/Logging_1489/kartor/A 21662-2024 karta.png", "A 21662-2024")</f>
        <v/>
      </c>
      <c r="Y13">
        <f>HYPERLINK("https://klasma.github.io/Logging_1489/klagomål/A 21662-2024 FSC-klagomål.docx", "A 21662-2024")</f>
        <v/>
      </c>
      <c r="Z13">
        <f>HYPERLINK("https://klasma.github.io/Logging_1489/klagomålsmail/A 21662-2024 FSC-klagomål mail.docx", "A 21662-2024")</f>
        <v/>
      </c>
      <c r="AA13">
        <f>HYPERLINK("https://klasma.github.io/Logging_1489/tillsyn/A 21662-2024 tillsynsbegäran.docx", "A 21662-2024")</f>
        <v/>
      </c>
      <c r="AB13">
        <f>HYPERLINK("https://klasma.github.io/Logging_1489/tillsynsmail/A 21662-2024 tillsynsbegäran mail.docx", "A 21662-2024")</f>
        <v/>
      </c>
      <c r="AC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46217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Y14">
        <f>HYPERLINK("https://klasma.github.io/Logging_1489/klagomål/A 57757-2024 FSC-klagomål.docx", "A 57757-2024")</f>
        <v/>
      </c>
      <c r="Z14">
        <f>HYPERLINK("https://klasma.github.io/Logging_1489/klagomålsmail/A 57757-2024 FSC-klagomål mail.docx", "A 57757-2024")</f>
        <v/>
      </c>
      <c r="AA14">
        <f>HYPERLINK("https://klasma.github.io/Logging_1489/tillsyn/A 57757-2024 tillsynsbegäran.docx", "A 57757-2024")</f>
        <v/>
      </c>
      <c r="AB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46217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s="2" t="inlineStr">
        <is>
          <t>Grönfink
Grönsångare
Grönsiska</t>
        </is>
      </c>
      <c r="V15">
        <f>HYPERLINK("https://klasma.github.io/Logging_1489/artfynd/A 63479-2023 artfynd.xlsx", "A 63479-2023")</f>
        <v/>
      </c>
      <c r="W15">
        <f>HYPERLINK("https://klasma.github.io/Logging_1489/kartor/A 63479-2023 karta.png", "A 63479-2023")</f>
        <v/>
      </c>
      <c r="Y15">
        <f>HYPERLINK("https://klasma.github.io/Logging_1489/klagomål/A 63479-2023 FSC-klagomål.docx", "A 63479-2023")</f>
        <v/>
      </c>
      <c r="Z15">
        <f>HYPERLINK("https://klasma.github.io/Logging_1489/klagomålsmail/A 63479-2023 FSC-klagomål mail.docx", "A 63479-2023")</f>
        <v/>
      </c>
      <c r="AA15">
        <f>HYPERLINK("https://klasma.github.io/Logging_1489/tillsyn/A 63479-2023 tillsynsbegäran.docx", "A 63479-2023")</f>
        <v/>
      </c>
      <c r="AB15">
        <f>HYPERLINK("https://klasma.github.io/Logging_1489/tillsynsmail/A 63479-2023 tillsynsbegäran mail.docx", "A 63479-2023")</f>
        <v/>
      </c>
      <c r="AC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46217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s="2" t="inlineStr">
        <is>
          <t>Jungfrulin
Orange taggsvamp
Vanlig groda</t>
        </is>
      </c>
      <c r="V16">
        <f>HYPERLINK("https://klasma.github.io/Logging_1489/artfynd/A 56053-2023 artfynd.xlsx", "A 56053-2023")</f>
        <v/>
      </c>
      <c r="W16">
        <f>HYPERLINK("https://klasma.github.io/Logging_1489/kartor/A 56053-2023 karta.png", "A 56053-2023")</f>
        <v/>
      </c>
      <c r="Y16">
        <f>HYPERLINK("https://klasma.github.io/Logging_1489/klagomål/A 56053-2023 FSC-klagomål.docx", "A 56053-2023")</f>
        <v/>
      </c>
      <c r="Z16">
        <f>HYPERLINK("https://klasma.github.io/Logging_1489/klagomålsmail/A 56053-2023 FSC-klagomål mail.docx", "A 56053-2023")</f>
        <v/>
      </c>
      <c r="AA16">
        <f>HYPERLINK("https://klasma.github.io/Logging_1489/tillsyn/A 56053-2023 tillsynsbegäran.docx", "A 56053-2023")</f>
        <v/>
      </c>
      <c r="AB16">
        <f>HYPERLINK("https://klasma.github.io/Logging_1489/tillsynsmail/A 56053-2023 tillsynsbegäran mail.docx", "A 56053-2023")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46217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Y17">
        <f>HYPERLINK("https://klasma.github.io/Logging_1489/klagomål/A 27403-2026 FSC-klagomål.docx", "A 27403-2026")</f>
        <v/>
      </c>
      <c r="Z17">
        <f>HYPERLINK("https://klasma.github.io/Logging_1489/klagomålsmail/A 27403-2026 FSC-klagomål mail.docx", "A 27403-2026")</f>
        <v/>
      </c>
      <c r="AA17">
        <f>HYPERLINK("https://klasma.github.io/Logging_1489/tillsyn/A 27403-2026 tillsynsbegäran.docx", "A 27403-2026")</f>
        <v/>
      </c>
      <c r="AB17">
        <f>HYPERLINK("https://klasma.github.io/Logging_1489/tillsynsmail/A 27403-2026 tillsynsbegäran mail.docx", "A 27403-2026")</f>
        <v/>
      </c>
      <c r="AC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46217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Y18">
        <f>HYPERLINK("https://klasma.github.io/Logging_1489/klagomål/A 24844-2026 FSC-klagomål.docx", "A 24844-2026")</f>
        <v/>
      </c>
      <c r="Z18">
        <f>HYPERLINK("https://klasma.github.io/Logging_1489/klagomålsmail/A 24844-2026 FSC-klagomål mail.docx", "A 24844-2026")</f>
        <v/>
      </c>
      <c r="AA18">
        <f>HYPERLINK("https://klasma.github.io/Logging_1489/tillsyn/A 24844-2026 tillsynsbegäran.docx", "A 24844-2026")</f>
        <v/>
      </c>
      <c r="AB18">
        <f>HYPERLINK("https://klasma.github.io/Logging_1489/tillsynsmail/A 24844-2026 tillsynsbegäran mail.docx", "A 24844-2026")</f>
        <v/>
      </c>
      <c r="AC18">
        <f>HYPERLINK("https://klasma.github.io/Logging_1489/fåglar/A 24844-2026 prioriterade fågelarter.docx", "A 24844-2026")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46217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s="2" t="inlineStr">
        <is>
          <t>Spillkråka
Revlummer</t>
        </is>
      </c>
      <c r="V19">
        <f>HYPERLINK("https://klasma.github.io/Logging_1489/artfynd/A 64182-2023 artfynd.xlsx", "A 64182-2023")</f>
        <v/>
      </c>
      <c r="W19">
        <f>HYPERLINK("https://klasma.github.io/Logging_1489/kartor/A 64182-2023 karta.png", "A 64182-2023")</f>
        <v/>
      </c>
      <c r="Y19">
        <f>HYPERLINK("https://klasma.github.io/Logging_1489/klagomål/A 64182-2023 FSC-klagomål.docx", "A 64182-2023")</f>
        <v/>
      </c>
      <c r="Z19">
        <f>HYPERLINK("https://klasma.github.io/Logging_1489/klagomålsmail/A 64182-2023 FSC-klagomål mail.docx", "A 64182-2023")</f>
        <v/>
      </c>
      <c r="AA19">
        <f>HYPERLINK("https://klasma.github.io/Logging_1489/tillsyn/A 64182-2023 tillsynsbegäran.docx", "A 64182-2023")</f>
        <v/>
      </c>
      <c r="AB19">
        <f>HYPERLINK("https://klasma.github.io/Logging_1489/tillsynsmail/A 64182-2023 tillsynsbegäran mail.docx", "A 64182-2023")</f>
        <v/>
      </c>
      <c r="AC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46217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Kungsfågel</t>
        </is>
      </c>
      <c r="V20">
        <f>HYPERLINK("https://klasma.github.io/Logging_1489/artfynd/A 57759-2024 artfynd.xlsx", "A 57759-2024")</f>
        <v/>
      </c>
      <c r="W20">
        <f>HYPERLINK("https://klasma.github.io/Logging_1489/kartor/A 57759-2024 karta.png", "A 57759-2024")</f>
        <v/>
      </c>
      <c r="Y20">
        <f>HYPERLINK("https://klasma.github.io/Logging_1489/klagomål/A 57759-2024 FSC-klagomål.docx", "A 57759-2024")</f>
        <v/>
      </c>
      <c r="Z20">
        <f>HYPERLINK("https://klasma.github.io/Logging_1489/klagomålsmail/A 57759-2024 FSC-klagomål mail.docx", "A 57759-2024")</f>
        <v/>
      </c>
      <c r="AA20">
        <f>HYPERLINK("https://klasma.github.io/Logging_1489/tillsyn/A 57759-2024 tillsynsbegäran.docx", "A 57759-2024")</f>
        <v/>
      </c>
      <c r="AB20">
        <f>HYPERLINK("https://klasma.github.io/Logging_1489/tillsynsmail/A 57759-2024 tillsynsbegäran mail.docx", "A 57759-2024")</f>
        <v/>
      </c>
      <c r="AC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46217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Vågbandad barkbock
Nattskärra</t>
        </is>
      </c>
      <c r="V21">
        <f>HYPERLINK("https://klasma.github.io/Logging_1489/artfynd/A 4187-2026 artfynd.xlsx", "A 4187-2026")</f>
        <v/>
      </c>
      <c r="W21">
        <f>HYPERLINK("https://klasma.github.io/Logging_1489/kartor/A 4187-2026 karta.png", "A 4187-2026")</f>
        <v/>
      </c>
      <c r="Y21">
        <f>HYPERLINK("https://klasma.github.io/Logging_1489/klagomål/A 4187-2026 FSC-klagomål.docx", "A 4187-2026")</f>
        <v/>
      </c>
      <c r="Z21">
        <f>HYPERLINK("https://klasma.github.io/Logging_1489/klagomålsmail/A 4187-2026 FSC-klagomål mail.docx", "A 4187-2026")</f>
        <v/>
      </c>
      <c r="AA21">
        <f>HYPERLINK("https://klasma.github.io/Logging_1489/tillsyn/A 4187-2026 tillsynsbegäran.docx", "A 4187-2026")</f>
        <v/>
      </c>
      <c r="AB21">
        <f>HYPERLINK("https://klasma.github.io/Logging_1489/tillsynsmail/A 4187-2026 tillsynsbegäran mail.docx", "A 4187-2026")</f>
        <v/>
      </c>
      <c r="AC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46217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Y22">
        <f>HYPERLINK("https://klasma.github.io/Logging_1489/klagomål/A 51909-2024 FSC-klagomål.docx", "A 51909-2024")</f>
        <v/>
      </c>
      <c r="Z22">
        <f>HYPERLINK("https://klasma.github.io/Logging_1489/klagomålsmail/A 51909-2024 FSC-klagomål mail.docx", "A 51909-2024")</f>
        <v/>
      </c>
      <c r="AA22">
        <f>HYPERLINK("https://klasma.github.io/Logging_1489/tillsyn/A 51909-2024 tillsynsbegäran.docx", "A 51909-2024")</f>
        <v/>
      </c>
      <c r="AB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46217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Duvhök</t>
        </is>
      </c>
      <c r="V23">
        <f>HYPERLINK("https://klasma.github.io/Logging_1489/artfynd/A 62603-2023 artfynd.xlsx", "A 62603-2023")</f>
        <v/>
      </c>
      <c r="W23">
        <f>HYPERLINK("https://klasma.github.io/Logging_1489/kartor/A 62603-2023 karta.png", "A 62603-2023")</f>
        <v/>
      </c>
      <c r="Y23">
        <f>HYPERLINK("https://klasma.github.io/Logging_1489/klagomål/A 62603-2023 FSC-klagomål.docx", "A 62603-2023")</f>
        <v/>
      </c>
      <c r="Z23">
        <f>HYPERLINK("https://klasma.github.io/Logging_1489/klagomålsmail/A 62603-2023 FSC-klagomål mail.docx", "A 62603-2023")</f>
        <v/>
      </c>
      <c r="AA23">
        <f>HYPERLINK("https://klasma.github.io/Logging_1489/tillsyn/A 62603-2023 tillsynsbegäran.docx", "A 62603-2023")</f>
        <v/>
      </c>
      <c r="AB23">
        <f>HYPERLINK("https://klasma.github.io/Logging_1489/tillsynsmail/A 62603-2023 tillsynsbegäran mail.docx", "A 62603-2023")</f>
        <v/>
      </c>
      <c r="AC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46217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Strandlummer</t>
        </is>
      </c>
      <c r="V24">
        <f>HYPERLINK("https://klasma.github.io/Logging_1489/artfynd/A 51927-2024 artfynd.xlsx", "A 51927-2024")</f>
        <v/>
      </c>
      <c r="W24">
        <f>HYPERLINK("https://klasma.github.io/Logging_1489/kartor/A 51927-2024 karta.png", "A 51927-2024")</f>
        <v/>
      </c>
      <c r="Y24">
        <f>HYPERLINK("https://klasma.github.io/Logging_1489/klagomål/A 51927-2024 FSC-klagomål.docx", "A 51927-2024")</f>
        <v/>
      </c>
      <c r="Z24">
        <f>HYPERLINK("https://klasma.github.io/Logging_1489/klagomålsmail/A 51927-2024 FSC-klagomål mail.docx", "A 51927-2024")</f>
        <v/>
      </c>
      <c r="AA24">
        <f>HYPERLINK("https://klasma.github.io/Logging_1489/tillsyn/A 51927-2024 tillsynsbegäran.docx", "A 51927-2024")</f>
        <v/>
      </c>
      <c r="AB24">
        <f>HYPERLINK("https://klasma.github.io/Logging_1489/tillsynsmail/A 51927-2024 tillsynsbegäran mail.docx", "A 51927-2024")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46217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Knärot</t>
        </is>
      </c>
      <c r="V25">
        <f>HYPERLINK("https://klasma.github.io/Logging_1489/artfynd/A 39240-2025 artfynd.xlsx", "A 39240-2025")</f>
        <v/>
      </c>
      <c r="W25">
        <f>HYPERLINK("https://klasma.github.io/Logging_1489/kartor/A 39240-2025 karta.png", "A 39240-2025")</f>
        <v/>
      </c>
      <c r="X25">
        <f>HYPERLINK("https://klasma.github.io/Logging_1489/knärot/A 39240-2025 karta knärot.png", "A 39240-2025")</f>
        <v/>
      </c>
      <c r="Y25">
        <f>HYPERLINK("https://klasma.github.io/Logging_1489/klagomål/A 39240-2025 FSC-klagomål.docx", "A 39240-2025")</f>
        <v/>
      </c>
      <c r="Z25">
        <f>HYPERLINK("https://klasma.github.io/Logging_1489/klagomålsmail/A 39240-2025 FSC-klagomål mail.docx", "A 39240-2025")</f>
        <v/>
      </c>
      <c r="AA25">
        <f>HYPERLINK("https://klasma.github.io/Logging_1489/tillsyn/A 39240-2025 tillsynsbegäran.docx", "A 39240-2025")</f>
        <v/>
      </c>
      <c r="AB25">
        <f>HYPERLINK("https://klasma.github.io/Logging_1489/tillsynsmail/A 39240-2025 tillsynsbegäran mail.docx", "A 39240-2025")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46217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Revlummer</t>
        </is>
      </c>
      <c r="V26">
        <f>HYPERLINK("https://klasma.github.io/Logging_1489/artfynd/A 29313-2024 artfynd.xlsx", "A 29313-2024")</f>
        <v/>
      </c>
      <c r="W26">
        <f>HYPERLINK("https://klasma.github.io/Logging_1489/kartor/A 29313-2024 karta.png", "A 29313-2024")</f>
        <v/>
      </c>
      <c r="Y26">
        <f>HYPERLINK("https://klasma.github.io/Logging_1489/klagomål/A 29313-2024 FSC-klagomål.docx", "A 29313-2024")</f>
        <v/>
      </c>
      <c r="Z26">
        <f>HYPERLINK("https://klasma.github.io/Logging_1489/klagomålsmail/A 29313-2024 FSC-klagomål mail.docx", "A 29313-2024")</f>
        <v/>
      </c>
      <c r="AA26">
        <f>HYPERLINK("https://klasma.github.io/Logging_1489/tillsyn/A 29313-2024 tillsynsbegäran.docx", "A 29313-2024")</f>
        <v/>
      </c>
      <c r="AB26">
        <f>HYPERLINK("https://klasma.github.io/Logging_1489/tillsynsmail/A 29313-2024 tillsynsbegäran mail.docx", "A 29313-2024")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46217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HYPERLINK("https://klasma.github.io/Logging_1489/artfynd/A 27283-2025 artfynd.xlsx", "A 27283-2025")</f>
        <v/>
      </c>
      <c r="W27">
        <f>HYPERLINK("https://klasma.github.io/Logging_1489/kartor/A 27283-2025 karta.png", "A 27283-2025")</f>
        <v/>
      </c>
      <c r="Y27">
        <f>HYPERLINK("https://klasma.github.io/Logging_1489/klagomål/A 27283-2025 FSC-klagomål.docx", "A 27283-2025")</f>
        <v/>
      </c>
      <c r="Z27">
        <f>HYPERLINK("https://klasma.github.io/Logging_1489/klagomålsmail/A 27283-2025 FSC-klagomål mail.docx", "A 27283-2025")</f>
        <v/>
      </c>
      <c r="AA27">
        <f>HYPERLINK("https://klasma.github.io/Logging_1489/tillsyn/A 27283-2025 tillsynsbegäran.docx", "A 27283-2025")</f>
        <v/>
      </c>
      <c r="AB27">
        <f>HYPERLINK("https://klasma.github.io/Logging_1489/tillsynsmail/A 27283-2025 tillsynsbegäran mail.docx", "A 27283-2025")</f>
        <v/>
      </c>
    </row>
    <row r="28" ht="15" customHeight="1">
      <c r="A28" t="inlineStr">
        <is>
          <t>A 37537-2024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46217</v>
      </c>
      <c r="F28" t="inlineStr">
        <is>
          <t>VÄSTRA GÖTALANDS LÄN</t>
        </is>
      </c>
      <c r="G28" t="inlineStr">
        <is>
          <t>ALINGSÅS</t>
        </is>
      </c>
      <c r="I28" t="n">
        <v>3.5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Strandlummer</t>
        </is>
      </c>
      <c r="V28">
        <f>HYPERLINK("https://klasma.github.io/Logging_1489/artfynd/A 37537-2024 artfynd.xlsx", "A 37537-2024")</f>
        <v/>
      </c>
      <c r="W28">
        <f>HYPERLINK("https://klasma.github.io/Logging_1489/kartor/A 37537-2024 karta.png", "A 37537-2024")</f>
        <v/>
      </c>
      <c r="Y28">
        <f>HYPERLINK("https://klasma.github.io/Logging_1489/klagomål/A 37537-2024 FSC-klagomål.docx", "A 37537-2024")</f>
        <v/>
      </c>
      <c r="Z28">
        <f>HYPERLINK("https://klasma.github.io/Logging_1489/klagomålsmail/A 37537-2024 FSC-klagomål mail.docx", "A 37537-2024")</f>
        <v/>
      </c>
      <c r="AA28">
        <f>HYPERLINK("https://klasma.github.io/Logging_1489/tillsyn/A 37537-2024 tillsynsbegäran.docx", "A 37537-2024")</f>
        <v/>
      </c>
      <c r="AB28">
        <f>HYPERLINK("https://klasma.github.io/Logging_1489/tillsynsmail/A 37537-2024 tillsynsbegäran mail.docx", "A 37537-2024")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46217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HYPERLINK("https://klasma.github.io/Logging_1489/artfynd/A 4205-2026 artfynd.xlsx", "A 4205-2026")</f>
        <v/>
      </c>
      <c r="W29">
        <f>HYPERLINK("https://klasma.github.io/Logging_1489/kartor/A 4205-2026 karta.png", "A 4205-2026")</f>
        <v/>
      </c>
      <c r="Y29">
        <f>HYPERLINK("https://klasma.github.io/Logging_1489/klagomål/A 4205-2026 FSC-klagomål.docx", "A 4205-2026")</f>
        <v/>
      </c>
      <c r="Z29">
        <f>HYPERLINK("https://klasma.github.io/Logging_1489/klagomålsmail/A 4205-2026 FSC-klagomål mail.docx", "A 4205-2026")</f>
        <v/>
      </c>
      <c r="AA29">
        <f>HYPERLINK("https://klasma.github.io/Logging_1489/tillsyn/A 4205-2026 tillsynsbegäran.docx", "A 4205-2026")</f>
        <v/>
      </c>
      <c r="AB29">
        <f>HYPERLINK("https://klasma.github.io/Logging_1489/tillsynsmail/A 4205-2026 tillsynsbegäran mail.docx", "A 4205-2026")</f>
        <v/>
      </c>
      <c r="AC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46217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Y30">
        <f>HYPERLINK("https://klasma.github.io/Logging_1489/klagomål/A 15986-2026 FSC-klagomål.docx", "A 15986-2026")</f>
        <v/>
      </c>
      <c r="Z30">
        <f>HYPERLINK("https://klasma.github.io/Logging_1489/klagomålsmail/A 15986-2026 FSC-klagomål mail.docx", "A 15986-2026")</f>
        <v/>
      </c>
      <c r="AA30">
        <f>HYPERLINK("https://klasma.github.io/Logging_1489/tillsyn/A 15986-2026 tillsynsbegäran.docx", "A 15986-2026")</f>
        <v/>
      </c>
      <c r="AB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46217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s="2" t="inlineStr">
        <is>
          <t>Ask</t>
        </is>
      </c>
      <c r="V31">
        <f>HYPERLINK("https://klasma.github.io/Logging_1489/artfynd/A 5383-2024 artfynd.xlsx", "A 5383-2024")</f>
        <v/>
      </c>
      <c r="W31">
        <f>HYPERLINK("https://klasma.github.io/Logging_1489/kartor/A 5383-2024 karta.png", "A 5383-2024")</f>
        <v/>
      </c>
      <c r="Y31">
        <f>HYPERLINK("https://klasma.github.io/Logging_1489/klagomål/A 5383-2024 FSC-klagomål.docx", "A 5383-2024")</f>
        <v/>
      </c>
      <c r="Z31">
        <f>HYPERLINK("https://klasma.github.io/Logging_1489/klagomålsmail/A 5383-2024 FSC-klagomål mail.docx", "A 5383-2024")</f>
        <v/>
      </c>
      <c r="AA31">
        <f>HYPERLINK("https://klasma.github.io/Logging_1489/tillsyn/A 5383-2024 tillsynsbegäran.docx", "A 5383-2024")</f>
        <v/>
      </c>
      <c r="AB31">
        <f>HYPERLINK("https://klasma.github.io/Logging_1489/tillsynsmail/A 5383-2024 tillsynsbegäran mail.docx", "A 5383-2024")</f>
        <v/>
      </c>
    </row>
    <row r="32" ht="15" customHeight="1">
      <c r="A32" t="inlineStr">
        <is>
          <t>A 59881-2024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45640</v>
      </c>
      <c r="E32" s="1" t="n">
        <v>46217</v>
      </c>
      <c r="F32" t="inlineStr">
        <is>
          <t>VÄSTRA GÖTALANDS LÄN</t>
        </is>
      </c>
      <c r="G32" t="inlineStr">
        <is>
          <t>ALINGSÅS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HYPERLINK("https://klasma.github.io/Logging_1489/artfynd/A 59881-2024 artfynd.xlsx", "A 59881-2024")</f>
        <v/>
      </c>
      <c r="W32">
        <f>HYPERLINK("https://klasma.github.io/Logging_1489/kartor/A 59881-2024 karta.png", "A 59881-2024")</f>
        <v/>
      </c>
      <c r="Y32">
        <f>HYPERLINK("https://klasma.github.io/Logging_1489/klagomål/A 59881-2024 FSC-klagomål.docx", "A 59881-2024")</f>
        <v/>
      </c>
      <c r="Z32">
        <f>HYPERLINK("https://klasma.github.io/Logging_1489/klagomålsmail/A 59881-2024 FSC-klagomål mail.docx", "A 59881-2024")</f>
        <v/>
      </c>
      <c r="AA32">
        <f>HYPERLINK("https://klasma.github.io/Logging_1489/tillsyn/A 59881-2024 tillsynsbegäran.docx", "A 59881-2024")</f>
        <v/>
      </c>
      <c r="AB32">
        <f>HYPERLINK("https://klasma.github.io/Logging_1489/tillsynsmail/A 59881-2024 tillsynsbegäran mail.docx", "A 59881-2024")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46217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Blodticka</t>
        </is>
      </c>
      <c r="V33">
        <f>HYPERLINK("https://klasma.github.io/Logging_1489/artfynd/A 10542-2024 artfynd.xlsx", "A 10542-2024")</f>
        <v/>
      </c>
      <c r="W33">
        <f>HYPERLINK("https://klasma.github.io/Logging_1489/kartor/A 10542-2024 karta.png", "A 10542-2024")</f>
        <v/>
      </c>
      <c r="Y33">
        <f>HYPERLINK("https://klasma.github.io/Logging_1489/klagomål/A 10542-2024 FSC-klagomål.docx", "A 10542-2024")</f>
        <v/>
      </c>
      <c r="Z33">
        <f>HYPERLINK("https://klasma.github.io/Logging_1489/klagomålsmail/A 10542-2024 FSC-klagomål mail.docx", "A 10542-2024")</f>
        <v/>
      </c>
      <c r="AA33">
        <f>HYPERLINK("https://klasma.github.io/Logging_1489/tillsyn/A 10542-2024 tillsynsbegäran.docx", "A 10542-2024")</f>
        <v/>
      </c>
      <c r="AB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46217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46217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46217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46217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46217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46217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21732-2022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44708</v>
      </c>
      <c r="E40" s="1" t="n">
        <v>46217</v>
      </c>
      <c r="F40" t="inlineStr">
        <is>
          <t>VÄSTRA GÖTALANDS LÄN</t>
        </is>
      </c>
      <c r="G40" t="inlineStr">
        <is>
          <t>ALINGSÅS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46217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46217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46217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46217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46217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46217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46217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46217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46217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46217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46217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46217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46217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46217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46217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46217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46217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46217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46217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46217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46217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46217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46217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46217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46217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46217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46217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46883-2021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46217</v>
      </c>
      <c r="F68" t="inlineStr">
        <is>
          <t>VÄSTRA GÖTALANDS LÄN</t>
        </is>
      </c>
      <c r="G68" t="inlineStr">
        <is>
          <t>ALINGSÅS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46217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46217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46217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46491-2021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46217</v>
      </c>
      <c r="F72" t="inlineStr">
        <is>
          <t>VÄSTRA GÖTALANDS LÄN</t>
        </is>
      </c>
      <c r="G72" t="inlineStr">
        <is>
          <t>ALINGSÅS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59925-2023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46217</v>
      </c>
      <c r="F73" t="inlineStr">
        <is>
          <t>VÄSTRA GÖTALANDS LÄN</t>
        </is>
      </c>
      <c r="G73" t="inlineStr">
        <is>
          <t>ALINGSÅS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45687</v>
      </c>
      <c r="E74" s="1" t="n">
        <v>46217</v>
      </c>
      <c r="F74" t="inlineStr">
        <is>
          <t>VÄSTRA GÖTALANDS LÄN</t>
        </is>
      </c>
      <c r="G74" t="inlineStr">
        <is>
          <t>ALINGSÅS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46217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46217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46217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46217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46217</v>
      </c>
      <c r="F79" t="inlineStr">
        <is>
          <t>VÄSTRA GÖTALANDS LÄN</t>
        </is>
      </c>
      <c r="G79" t="inlineStr">
        <is>
          <t>ALINGSÅS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46217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46217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46217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46217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56752-2023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46217</v>
      </c>
      <c r="F84" t="inlineStr">
        <is>
          <t>VÄSTRA GÖTALANDS LÄN</t>
        </is>
      </c>
      <c r="G84" t="inlineStr">
        <is>
          <t>ALINGSÅS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46217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46217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46217</v>
      </c>
      <c r="F87" t="inlineStr">
        <is>
          <t>VÄSTRA GÖTALANDS LÄN</t>
        </is>
      </c>
      <c r="G87" t="inlineStr">
        <is>
          <t>ALINGSÅS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9181-2022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44615</v>
      </c>
      <c r="E88" s="1" t="n">
        <v>46217</v>
      </c>
      <c r="F88" t="inlineStr">
        <is>
          <t>VÄSTRA GÖTALANDS LÄN</t>
        </is>
      </c>
      <c r="G88" t="inlineStr">
        <is>
          <t>ALINGSÅS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43741-2024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46217</v>
      </c>
      <c r="F89" t="inlineStr">
        <is>
          <t>VÄSTRA GÖTALANDS LÄN</t>
        </is>
      </c>
      <c r="G89" t="inlineStr">
        <is>
          <t>ALINGSÅS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46217</v>
      </c>
      <c r="F90" t="inlineStr">
        <is>
          <t>VÄSTRA GÖTALANDS LÄN</t>
        </is>
      </c>
      <c r="G90" t="inlineStr">
        <is>
          <t>ALINGSÅS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53628-2023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45230</v>
      </c>
      <c r="E91" s="1" t="n">
        <v>46217</v>
      </c>
      <c r="F91" t="inlineStr">
        <is>
          <t>VÄSTRA GÖTALANDS LÄN</t>
        </is>
      </c>
      <c r="G91" t="inlineStr">
        <is>
          <t>ALINGSÅS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44637</v>
      </c>
      <c r="E92" s="1" t="n">
        <v>46217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46217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10587-2025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46217</v>
      </c>
      <c r="F94" t="inlineStr">
        <is>
          <t>VÄSTRA GÖTALANDS LÄN</t>
        </is>
      </c>
      <c r="G94" t="inlineStr">
        <is>
          <t>ALINGSÅS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58410-2024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46217</v>
      </c>
      <c r="F95" t="inlineStr">
        <is>
          <t>VÄSTRA GÖTALANDS LÄN</t>
        </is>
      </c>
      <c r="G95" t="inlineStr">
        <is>
          <t>ALINGSÅS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25468-2026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46217</v>
      </c>
      <c r="F96" t="inlineStr">
        <is>
          <t>VÄSTRA GÖTALANDS LÄN</t>
        </is>
      </c>
      <c r="G96" t="inlineStr">
        <is>
          <t>ALINGSÅS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25775-2026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46217</v>
      </c>
      <c r="F97" t="inlineStr">
        <is>
          <t>VÄSTRA GÖTALANDS LÄN</t>
        </is>
      </c>
      <c r="G97" t="inlineStr">
        <is>
          <t>ALINGSÅS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15019-2023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45015</v>
      </c>
      <c r="E98" s="1" t="n">
        <v>46217</v>
      </c>
      <c r="F98" t="inlineStr">
        <is>
          <t>VÄSTRA GÖTALANDS LÄN</t>
        </is>
      </c>
      <c r="G98" t="inlineStr">
        <is>
          <t>ALINGSÅS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63143-2021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46217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26316-2023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45091</v>
      </c>
      <c r="E100" s="1" t="n">
        <v>46217</v>
      </c>
      <c r="F100" t="inlineStr">
        <is>
          <t>VÄSTRA GÖTALANDS LÄN</t>
        </is>
      </c>
      <c r="G100" t="inlineStr">
        <is>
          <t>ALINGSÅS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46217</v>
      </c>
      <c r="F101" t="inlineStr">
        <is>
          <t>VÄSTRA GÖTALANDS LÄN</t>
        </is>
      </c>
      <c r="G101" t="inlineStr">
        <is>
          <t>ALINGSÅS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11024-2023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46217</v>
      </c>
      <c r="F102" t="inlineStr">
        <is>
          <t>VÄSTRA GÖTALANDS LÄN</t>
        </is>
      </c>
      <c r="G102" t="inlineStr">
        <is>
          <t>ALINGSÅS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25457-2026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46217</v>
      </c>
      <c r="F103" t="inlineStr">
        <is>
          <t>VÄSTRA GÖTALANDS LÄN</t>
        </is>
      </c>
      <c r="G103" t="inlineStr">
        <is>
          <t>ALINGSÅS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25462-2026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46217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46217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46217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46217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41452-2025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46217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25469-2026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46217</v>
      </c>
      <c r="F109" t="inlineStr">
        <is>
          <t>VÄSTRA GÖTALANDS LÄN</t>
        </is>
      </c>
      <c r="G109" t="inlineStr">
        <is>
          <t>ALINGSÅS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14313-2023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45011</v>
      </c>
      <c r="E110" s="1" t="n">
        <v>46217</v>
      </c>
      <c r="F110" t="inlineStr">
        <is>
          <t>VÄSTRA GÖTALANDS LÄN</t>
        </is>
      </c>
      <c r="G110" t="inlineStr">
        <is>
          <t>ALINGSÅS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46217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46217</v>
      </c>
      <c r="F112" t="inlineStr">
        <is>
          <t>VÄSTRA GÖTALANDS LÄN</t>
        </is>
      </c>
      <c r="G112" t="inlineStr">
        <is>
          <t>ALINGSÅS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33490-2025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46217</v>
      </c>
      <c r="F113" t="inlineStr">
        <is>
          <t>VÄSTRA GÖTALANDS LÄN</t>
        </is>
      </c>
      <c r="G113" t="inlineStr">
        <is>
          <t>ALINGSÅS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46217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46217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42710-2025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46217</v>
      </c>
      <c r="F116" t="inlineStr">
        <is>
          <t>VÄSTRA GÖTALANDS LÄN</t>
        </is>
      </c>
      <c r="G116" t="inlineStr">
        <is>
          <t>ALINGSÅS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46217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32286-2024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45512</v>
      </c>
      <c r="E118" s="1" t="n">
        <v>46217</v>
      </c>
      <c r="F118" t="inlineStr">
        <is>
          <t>VÄSTRA GÖTALANDS LÄN</t>
        </is>
      </c>
      <c r="G118" t="inlineStr">
        <is>
          <t>ALINGSÅS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46217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46217</v>
      </c>
      <c r="F120" t="inlineStr">
        <is>
          <t>VÄSTRA GÖTALANDS LÄN</t>
        </is>
      </c>
      <c r="G120" t="inlineStr">
        <is>
          <t>ALINGSÅS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44530-2025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46217</v>
      </c>
      <c r="F121" t="inlineStr">
        <is>
          <t>VÄSTRA GÖTALANDS LÄN</t>
        </is>
      </c>
      <c r="G121" t="inlineStr">
        <is>
          <t>ALINGSÅS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44103-2025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46217</v>
      </c>
      <c r="F122" t="inlineStr">
        <is>
          <t>VÄSTRA GÖTALANDS LÄN</t>
        </is>
      </c>
      <c r="G122" t="inlineStr">
        <is>
          <t>ALINGSÅS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46217</v>
      </c>
      <c r="F123" t="inlineStr">
        <is>
          <t>VÄSTRA GÖTALANDS LÄN</t>
        </is>
      </c>
      <c r="G123" t="inlineStr">
        <is>
          <t>ALINGSÅS</t>
        </is>
      </c>
      <c r="I123" t="n">
        <v>9.5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46217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15018-2023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46217</v>
      </c>
      <c r="F125" t="inlineStr">
        <is>
          <t>VÄSTRA GÖTALANDS LÄN</t>
        </is>
      </c>
      <c r="G125" t="inlineStr">
        <is>
          <t>ALINGSÅS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46217</v>
      </c>
      <c r="F126" t="inlineStr">
        <is>
          <t>VÄSTRA GÖTALANDS LÄN</t>
        </is>
      </c>
      <c r="G126" t="inlineStr">
        <is>
          <t>ALINGSÅS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21727-2022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44708</v>
      </c>
      <c r="E127" s="1" t="n">
        <v>46217</v>
      </c>
      <c r="F127" t="inlineStr">
        <is>
          <t>VÄSTRA GÖTALANDS LÄN</t>
        </is>
      </c>
      <c r="G127" t="inlineStr">
        <is>
          <t>ALINGSÅS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45660</v>
      </c>
      <c r="E128" s="1" t="n">
        <v>46217</v>
      </c>
      <c r="F128" t="inlineStr">
        <is>
          <t>VÄSTRA GÖTALANDS LÄN</t>
        </is>
      </c>
      <c r="G128" t="inlineStr">
        <is>
          <t>ALINGSÅS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46217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46217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46217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15798-2023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45021</v>
      </c>
      <c r="E132" s="1" t="n">
        <v>46217</v>
      </c>
      <c r="F132" t="inlineStr">
        <is>
          <t>VÄSTRA GÖTALANDS LÄN</t>
        </is>
      </c>
      <c r="G132" t="inlineStr">
        <is>
          <t>ALINGSÅS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64058-2023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46217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64194-2023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46217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16609-2022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46217</v>
      </c>
      <c r="F135" t="inlineStr">
        <is>
          <t>VÄSTRA GÖTALANDS LÄN</t>
        </is>
      </c>
      <c r="G135" t="inlineStr">
        <is>
          <t>ALINGSÅS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16612-2022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44672</v>
      </c>
      <c r="E136" s="1" t="n">
        <v>46217</v>
      </c>
      <c r="F136" t="inlineStr">
        <is>
          <t>VÄSTRA GÖTALANDS LÄN</t>
        </is>
      </c>
      <c r="G136" t="inlineStr">
        <is>
          <t>ALINGSÅS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48966-2025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46217</v>
      </c>
      <c r="F137" t="inlineStr">
        <is>
          <t>VÄSTRA GÖTALANDS LÄN</t>
        </is>
      </c>
      <c r="G137" t="inlineStr">
        <is>
          <t>ALINGSÅS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46217</v>
      </c>
      <c r="F138" t="inlineStr">
        <is>
          <t>VÄSTRA GÖTALANDS LÄN</t>
        </is>
      </c>
      <c r="G138" t="inlineStr">
        <is>
          <t>ALINGSÅS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46217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46217</v>
      </c>
      <c r="F140" t="inlineStr">
        <is>
          <t>VÄSTRA GÖTALANDS LÄN</t>
        </is>
      </c>
      <c r="G140" t="inlineStr">
        <is>
          <t>ALINGSÅS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10916-2025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45722</v>
      </c>
      <c r="E141" s="1" t="n">
        <v>46217</v>
      </c>
      <c r="F141" t="inlineStr">
        <is>
          <t>VÄSTRA GÖTALANDS LÄN</t>
        </is>
      </c>
      <c r="G141" t="inlineStr">
        <is>
          <t>ALINGSÅS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46217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45612-2025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46217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46217</v>
      </c>
      <c r="F144" t="inlineStr">
        <is>
          <t>VÄSTRA GÖTALANDS LÄN</t>
        </is>
      </c>
      <c r="G144" t="inlineStr">
        <is>
          <t>ALINGSÅS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45177</v>
      </c>
      <c r="E145" s="1" t="n">
        <v>46217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8599-2023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46217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45792</v>
      </c>
      <c r="E147" s="1" t="n">
        <v>46217</v>
      </c>
      <c r="F147" t="inlineStr">
        <is>
          <t>VÄSTRA GÖTALANDS LÄN</t>
        </is>
      </c>
      <c r="G147" t="inlineStr">
        <is>
          <t>ALINGSÅS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25746-2024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45465</v>
      </c>
      <c r="E148" s="1" t="n">
        <v>46217</v>
      </c>
      <c r="F148" t="inlineStr">
        <is>
          <t>VÄSTRA GÖTALANDS LÄN</t>
        </is>
      </c>
      <c r="G148" t="inlineStr">
        <is>
          <t>ALINGSÅS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46217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46217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46217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8620-2023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46217</v>
      </c>
      <c r="F152" t="inlineStr">
        <is>
          <t>VÄSTRA GÖTALANDS LÄN</t>
        </is>
      </c>
      <c r="G152" t="inlineStr">
        <is>
          <t>ALINGSÅS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46217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54073-2025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45964</v>
      </c>
      <c r="E154" s="1" t="n">
        <v>46217</v>
      </c>
      <c r="F154" t="inlineStr">
        <is>
          <t>VÄSTRA GÖTALANDS LÄN</t>
        </is>
      </c>
      <c r="G154" t="inlineStr">
        <is>
          <t>ALINGSÅS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54701-2025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46217</v>
      </c>
      <c r="F155" t="inlineStr">
        <is>
          <t>VÄSTRA GÖTALANDS LÄN</t>
        </is>
      </c>
      <c r="G155" t="inlineStr">
        <is>
          <t>ALINGSÅS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54644-2025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45966</v>
      </c>
      <c r="E156" s="1" t="n">
        <v>46217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46217</v>
      </c>
      <c r="F157" t="inlineStr">
        <is>
          <t>VÄSTRA GÖTALANDS LÄN</t>
        </is>
      </c>
      <c r="G157" t="inlineStr">
        <is>
          <t>ALINGSÅS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46217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46217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46217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13858-2024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45391</v>
      </c>
      <c r="E161" s="1" t="n">
        <v>46217</v>
      </c>
      <c r="F161" t="inlineStr">
        <is>
          <t>VÄSTRA GÖTALANDS LÄN</t>
        </is>
      </c>
      <c r="G161" t="inlineStr">
        <is>
          <t>ALINGSÅS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46217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46217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46217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37429-2023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46217</v>
      </c>
      <c r="F165" t="inlineStr">
        <is>
          <t>VÄSTRA GÖTALANDS LÄN</t>
        </is>
      </c>
      <c r="G165" t="inlineStr">
        <is>
          <t>ALINGSÅS</t>
        </is>
      </c>
      <c r="H165" t="inlineStr">
        <is>
          <t>Kyrkan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30478-2023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46217</v>
      </c>
      <c r="F166" t="inlineStr">
        <is>
          <t>VÄSTRA GÖTALANDS LÄN</t>
        </is>
      </c>
      <c r="G166" t="inlineStr">
        <is>
          <t>ALINGSÅS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46217</v>
      </c>
      <c r="F167" t="inlineStr">
        <is>
          <t>VÄSTRA GÖTALANDS LÄN</t>
        </is>
      </c>
      <c r="G167" t="inlineStr">
        <is>
          <t>ALINGSÅS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3495-2023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46217</v>
      </c>
      <c r="F168" t="inlineStr">
        <is>
          <t>VÄSTRA GÖTALANDS LÄN</t>
        </is>
      </c>
      <c r="G168" t="inlineStr">
        <is>
          <t>ALINGSÅS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27029-2026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46217</v>
      </c>
      <c r="F169" t="inlineStr">
        <is>
          <t>VÄSTRA GÖTALANDS LÄN</t>
        </is>
      </c>
      <c r="G169" t="inlineStr">
        <is>
          <t>ALINGSÅS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27401-2026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46217</v>
      </c>
      <c r="F170" t="inlineStr">
        <is>
          <t>VÄSTRA GÖTALANDS LÄN</t>
        </is>
      </c>
      <c r="G170" t="inlineStr">
        <is>
          <t>ALINGSÅS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21558-2026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46217</v>
      </c>
      <c r="F171" t="inlineStr">
        <is>
          <t>VÄSTRA GÖTALANDS LÄN</t>
        </is>
      </c>
      <c r="G171" t="inlineStr">
        <is>
          <t>ALINGSÅS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27877-2026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46217</v>
      </c>
      <c r="F172" t="inlineStr">
        <is>
          <t>VÄSTRA GÖTALANDS LÄN</t>
        </is>
      </c>
      <c r="G172" t="inlineStr">
        <is>
          <t>ALINGSÅS</t>
        </is>
      </c>
      <c r="I172" t="n">
        <v>21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27882-2026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46217</v>
      </c>
      <c r="F173" t="inlineStr">
        <is>
          <t>VÄSTRA GÖTALANDS LÄN</t>
        </is>
      </c>
      <c r="G173" t="inlineStr">
        <is>
          <t>ALINGSÅS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46217</v>
      </c>
      <c r="F174" t="inlineStr">
        <is>
          <t>VÄSTRA GÖTALANDS LÄN</t>
        </is>
      </c>
      <c r="G174" t="inlineStr">
        <is>
          <t>ALINGSÅS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22186-2025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45785</v>
      </c>
      <c r="E175" s="1" t="n">
        <v>46217</v>
      </c>
      <c r="F175" t="inlineStr">
        <is>
          <t>VÄSTRA GÖTALANDS LÄN</t>
        </is>
      </c>
      <c r="G175" t="inlineStr">
        <is>
          <t>ALINGSÅS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46217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46217</v>
      </c>
      <c r="F177" t="inlineStr">
        <is>
          <t>VÄSTRA GÖTALANDS LÄN</t>
        </is>
      </c>
      <c r="G177" t="inlineStr">
        <is>
          <t>ALINGSÅS</t>
        </is>
      </c>
      <c r="H177" t="inlineStr">
        <is>
          <t>Kyrkan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59956-2023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46217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19739-2025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46217</v>
      </c>
      <c r="F179" t="inlineStr">
        <is>
          <t>VÄSTRA GÖTALANDS LÄN</t>
        </is>
      </c>
      <c r="G179" t="inlineStr">
        <is>
          <t>ALINGSÅS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60725-2025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45996</v>
      </c>
      <c r="E180" s="1" t="n">
        <v>46217</v>
      </c>
      <c r="F180" t="inlineStr">
        <is>
          <t>VÄSTRA GÖTALANDS LÄN</t>
        </is>
      </c>
      <c r="G180" t="inlineStr">
        <is>
          <t>ALINGSÅS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61205-2025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46217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46217</v>
      </c>
      <c r="F182" t="inlineStr">
        <is>
          <t>VÄSTRA GÖTALANDS LÄN</t>
        </is>
      </c>
      <c r="G182" t="inlineStr">
        <is>
          <t>ALINGSÅS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45335</v>
      </c>
      <c r="E183" s="1" t="n">
        <v>46217</v>
      </c>
      <c r="F183" t="inlineStr">
        <is>
          <t>VÄSTRA GÖTALANDS LÄN</t>
        </is>
      </c>
      <c r="G183" t="inlineStr">
        <is>
          <t>ALINGSÅS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46217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48082-2024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46217</v>
      </c>
      <c r="F185" t="inlineStr">
        <is>
          <t>VÄSTRA GÖTALANDS LÄN</t>
        </is>
      </c>
      <c r="G185" t="inlineStr">
        <is>
          <t>ALINGSÅS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33812-2023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45133</v>
      </c>
      <c r="E186" s="1" t="n">
        <v>46217</v>
      </c>
      <c r="F186" t="inlineStr">
        <is>
          <t>VÄSTRA GÖTALANDS LÄN</t>
        </is>
      </c>
      <c r="G186" t="inlineStr">
        <is>
          <t>ALINGSÅS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46217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46217</v>
      </c>
      <c r="F188" t="inlineStr">
        <is>
          <t>VÄSTRA GÖTALANDS LÄN</t>
        </is>
      </c>
      <c r="G188" t="inlineStr">
        <is>
          <t>ALINGSÅS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44631</v>
      </c>
      <c r="E189" s="1" t="n">
        <v>46217</v>
      </c>
      <c r="F189" t="inlineStr">
        <is>
          <t>VÄSTRA GÖTALANDS LÄN</t>
        </is>
      </c>
      <c r="G189" t="inlineStr">
        <is>
          <t>ALINGSÅS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46217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46217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46217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46217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7631-2025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46217</v>
      </c>
      <c r="F194" t="inlineStr">
        <is>
          <t>VÄSTRA GÖTALANDS LÄN</t>
        </is>
      </c>
      <c r="G194" t="inlineStr">
        <is>
          <t>ALINGSÅS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51169-2021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44461</v>
      </c>
      <c r="E195" s="1" t="n">
        <v>46217</v>
      </c>
      <c r="F195" t="inlineStr">
        <is>
          <t>VÄSTRA GÖTALANDS LÄN</t>
        </is>
      </c>
      <c r="G195" t="inlineStr">
        <is>
          <t>ALINGSÅS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54615-2024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46217</v>
      </c>
      <c r="F196" t="inlineStr">
        <is>
          <t>VÄSTRA GÖTALANDS LÄN</t>
        </is>
      </c>
      <c r="G196" t="inlineStr">
        <is>
          <t>ALINGSÅS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63716-2025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46217</v>
      </c>
      <c r="F197" t="inlineStr">
        <is>
          <t>VÄSTRA GÖTALANDS LÄN</t>
        </is>
      </c>
      <c r="G197" t="inlineStr">
        <is>
          <t>ALINGSÅS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46217</v>
      </c>
      <c r="F198" t="inlineStr">
        <is>
          <t>VÄSTRA GÖTALANDS LÄN</t>
        </is>
      </c>
      <c r="G198" t="inlineStr">
        <is>
          <t>ALINGSÅS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45323-2024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45576</v>
      </c>
      <c r="E199" s="1" t="n">
        <v>46217</v>
      </c>
      <c r="F199" t="inlineStr">
        <is>
          <t>VÄSTRA GÖTALANDS LÄN</t>
        </is>
      </c>
      <c r="G199" t="inlineStr">
        <is>
          <t>ALINGSÅS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23181-2023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46217</v>
      </c>
      <c r="F200" t="inlineStr">
        <is>
          <t>VÄSTRA GÖTALANDS LÄN</t>
        </is>
      </c>
      <c r="G200" t="inlineStr">
        <is>
          <t>ALINGSÅS</t>
        </is>
      </c>
      <c r="I200" t="n">
        <v>13.1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46217</v>
      </c>
      <c r="F201" t="inlineStr">
        <is>
          <t>VÄSTRA GÖTALANDS LÄN</t>
        </is>
      </c>
      <c r="G201" t="inlineStr">
        <is>
          <t>ALINGSÅS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46217</v>
      </c>
      <c r="F202" t="inlineStr">
        <is>
          <t>VÄSTRA GÖTALANDS LÄN</t>
        </is>
      </c>
      <c r="G202" t="inlineStr">
        <is>
          <t>ALINGSÅS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46217</v>
      </c>
      <c r="F203" t="inlineStr">
        <is>
          <t>VÄSTRA GÖTALANDS LÄN</t>
        </is>
      </c>
      <c r="G203" t="inlineStr">
        <is>
          <t>ALINGSÅS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44582</v>
      </c>
      <c r="E204" s="1" t="n">
        <v>46217</v>
      </c>
      <c r="F204" t="inlineStr">
        <is>
          <t>VÄSTRA GÖTALANDS LÄN</t>
        </is>
      </c>
      <c r="G204" t="inlineStr">
        <is>
          <t>ALINGSÅS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46217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46217</v>
      </c>
      <c r="F206" t="inlineStr">
        <is>
          <t>VÄSTRA GÖTALANDS LÄN</t>
        </is>
      </c>
      <c r="G206" t="inlineStr">
        <is>
          <t>ALINGSÅS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46217</v>
      </c>
      <c r="F207" t="inlineStr">
        <is>
          <t>VÄSTRA GÖTALANDS LÄN</t>
        </is>
      </c>
      <c r="G207" t="inlineStr">
        <is>
          <t>ALINGSÅS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46217</v>
      </c>
      <c r="F208" t="inlineStr">
        <is>
          <t>VÄSTRA GÖTALANDS LÄN</t>
        </is>
      </c>
      <c r="G208" t="inlineStr">
        <is>
          <t>ALINGSÅS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46217</v>
      </c>
      <c r="F209" t="inlineStr">
        <is>
          <t>VÄSTRA GÖTALANDS LÄN</t>
        </is>
      </c>
      <c r="G209" t="inlineStr">
        <is>
          <t>ALINGSÅS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49522-2024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46217</v>
      </c>
      <c r="F210" t="inlineStr">
        <is>
          <t>VÄSTRA GÖTALANDS LÄN</t>
        </is>
      </c>
      <c r="G210" t="inlineStr">
        <is>
          <t>ALINGSÅS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46217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49164-2024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46217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46217</v>
      </c>
      <c r="F213" t="inlineStr">
        <is>
          <t>VÄSTRA GÖTALANDS LÄN</t>
        </is>
      </c>
      <c r="G213" t="inlineStr">
        <is>
          <t>ALINGSÅS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21143-2024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46217</v>
      </c>
      <c r="F214" t="inlineStr">
        <is>
          <t>VÄSTRA GÖTALANDS LÄN</t>
        </is>
      </c>
      <c r="G214" t="inlineStr">
        <is>
          <t>ALINGSÅS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9362-2026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46217</v>
      </c>
      <c r="F215" t="inlineStr">
        <is>
          <t>VÄSTRA GÖTALANDS LÄN</t>
        </is>
      </c>
      <c r="G215" t="inlineStr">
        <is>
          <t>ALINGSÅS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24000-2024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45456</v>
      </c>
      <c r="E216" s="1" t="n">
        <v>46217</v>
      </c>
      <c r="F216" t="inlineStr">
        <is>
          <t>VÄSTRA GÖTALANDS LÄN</t>
        </is>
      </c>
      <c r="G216" t="inlineStr">
        <is>
          <t>ALINGSÅS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46217</v>
      </c>
      <c r="F217" t="inlineStr">
        <is>
          <t>VÄSTRA GÖTALANDS LÄN</t>
        </is>
      </c>
      <c r="G217" t="inlineStr">
        <is>
          <t>ALINGSÅS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12039-2026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46217</v>
      </c>
      <c r="F218" t="inlineStr">
        <is>
          <t>VÄSTRA GÖTALANDS LÄN</t>
        </is>
      </c>
      <c r="G218" t="inlineStr">
        <is>
          <t>ALINGSÅS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46086</v>
      </c>
      <c r="E219" s="1" t="n">
        <v>46217</v>
      </c>
      <c r="F219" t="inlineStr">
        <is>
          <t>VÄSTRA GÖTALANDS LÄN</t>
        </is>
      </c>
      <c r="G219" t="inlineStr">
        <is>
          <t>ALINGSÅS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24579-2022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44727</v>
      </c>
      <c r="E220" s="1" t="n">
        <v>46217</v>
      </c>
      <c r="F220" t="inlineStr">
        <is>
          <t>VÄSTRA GÖTALANDS LÄN</t>
        </is>
      </c>
      <c r="G220" t="inlineStr">
        <is>
          <t>ALINGSÅS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47233-2022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46217</v>
      </c>
      <c r="F221" t="inlineStr">
        <is>
          <t>VÄSTRA GÖTALANDS LÄN</t>
        </is>
      </c>
      <c r="G221" t="inlineStr">
        <is>
          <t>ALINGSÅS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18159-2024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46217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39471-2023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46217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15847-2026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46217</v>
      </c>
      <c r="F224" t="inlineStr">
        <is>
          <t>VÄSTRA GÖTALANDS LÄN</t>
        </is>
      </c>
      <c r="G224" t="inlineStr">
        <is>
          <t>ALINGSÅS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15663-2026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46217</v>
      </c>
      <c r="F225" t="inlineStr">
        <is>
          <t>VÄSTRA GÖTALANDS LÄN</t>
        </is>
      </c>
      <c r="G225" t="inlineStr">
        <is>
          <t>ALINGSÅS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15846-2026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46217</v>
      </c>
      <c r="F226" t="inlineStr">
        <is>
          <t>VÄSTRA GÖTALANDS LÄN</t>
        </is>
      </c>
      <c r="G226" t="inlineStr">
        <is>
          <t>ALINGSÅS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25747-2024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45465</v>
      </c>
      <c r="E227" s="1" t="n">
        <v>46217</v>
      </c>
      <c r="F227" t="inlineStr">
        <is>
          <t>VÄSTRA GÖTALANDS LÄN</t>
        </is>
      </c>
      <c r="G227" t="inlineStr">
        <is>
          <t>ALINGSÅS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60904-2023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45261</v>
      </c>
      <c r="E228" s="1" t="n">
        <v>46217</v>
      </c>
      <c r="F228" t="inlineStr">
        <is>
          <t>VÄSTRA GÖTALANDS LÄN</t>
        </is>
      </c>
      <c r="G228" t="inlineStr">
        <is>
          <t>ALINGSÅS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60027-2023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46217</v>
      </c>
      <c r="F229" t="inlineStr">
        <is>
          <t>VÄSTRA GÖTALANDS LÄN</t>
        </is>
      </c>
      <c r="G229" t="inlineStr">
        <is>
          <t>ALINGSÅS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62671-2023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46217</v>
      </c>
      <c r="F230" t="inlineStr">
        <is>
          <t>VÄSTRA GÖTALANDS LÄN</t>
        </is>
      </c>
      <c r="G230" t="inlineStr">
        <is>
          <t>ALINGSÅS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16077-2026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46217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2362-2024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45310</v>
      </c>
      <c r="E232" s="1" t="n">
        <v>46217</v>
      </c>
      <c r="F232" t="inlineStr">
        <is>
          <t>VÄSTRA GÖTALANDS LÄN</t>
        </is>
      </c>
      <c r="G232" t="inlineStr">
        <is>
          <t>ALINGSÅS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61734-2023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46217</v>
      </c>
      <c r="F233" t="inlineStr">
        <is>
          <t>VÄSTRA GÖTALANDS LÄN</t>
        </is>
      </c>
      <c r="G233" t="inlineStr">
        <is>
          <t>ALINGSÅS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16086-2026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46217</v>
      </c>
      <c r="F234" t="inlineStr">
        <is>
          <t>VÄSTRA GÖTALANDS LÄN</t>
        </is>
      </c>
      <c r="G234" t="inlineStr">
        <is>
          <t>ALINGSÅS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8080-2023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46217</v>
      </c>
      <c r="F235" t="inlineStr">
        <is>
          <t>VÄSTRA GÖTALANDS LÄN</t>
        </is>
      </c>
      <c r="G235" t="inlineStr">
        <is>
          <t>ALINGSÅS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15988-2026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46217</v>
      </c>
      <c r="F236" t="inlineStr">
        <is>
          <t>VÄSTRA GÖTALANDS LÄN</t>
        </is>
      </c>
      <c r="G236" t="inlineStr">
        <is>
          <t>ALINGSÅS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50039-2021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44456</v>
      </c>
      <c r="E237" s="1" t="n">
        <v>46217</v>
      </c>
      <c r="F237" t="inlineStr">
        <is>
          <t>VÄSTRA GÖTALANDS LÄN</t>
        </is>
      </c>
      <c r="G237" t="inlineStr">
        <is>
          <t>ALINGSÅS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50633-2023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46217</v>
      </c>
      <c r="F238" t="inlineStr">
        <is>
          <t>VÄSTRA GÖTALANDS LÄN</t>
        </is>
      </c>
      <c r="G238" t="inlineStr">
        <is>
          <t>ALINGSÅS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25141-2022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44729</v>
      </c>
      <c r="E239" s="1" t="n">
        <v>46217</v>
      </c>
      <c r="F239" t="inlineStr">
        <is>
          <t>VÄSTRA GÖTALANDS LÄN</t>
        </is>
      </c>
      <c r="G239" t="inlineStr">
        <is>
          <t>ALINGSÅS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42531-2022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44831</v>
      </c>
      <c r="E240" s="1" t="n">
        <v>46217</v>
      </c>
      <c r="F240" t="inlineStr">
        <is>
          <t>VÄSTRA GÖTALANDS LÄN</t>
        </is>
      </c>
      <c r="G240" t="inlineStr">
        <is>
          <t>ALINGSÅS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27404-2026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46217</v>
      </c>
      <c r="F241" t="inlineStr">
        <is>
          <t>VÄSTRA GÖTALANDS LÄN</t>
        </is>
      </c>
      <c r="G241" t="inlineStr">
        <is>
          <t>ALINGSÅS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38970-2025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46217</v>
      </c>
      <c r="F242" t="inlineStr">
        <is>
          <t>VÄSTRA GÖTALANDS LÄN</t>
        </is>
      </c>
      <c r="G242" t="inlineStr">
        <is>
          <t>ALINGSÅS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46217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40293-2022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44821</v>
      </c>
      <c r="E244" s="1" t="n">
        <v>46217</v>
      </c>
      <c r="F244" t="inlineStr">
        <is>
          <t>VÄSTRA GÖTALANDS LÄN</t>
        </is>
      </c>
      <c r="G244" t="inlineStr">
        <is>
          <t>ALINGSÅS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17654-2026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46217</v>
      </c>
      <c r="F245" t="inlineStr">
        <is>
          <t>VÄSTRA GÖTALANDS LÄN</t>
        </is>
      </c>
      <c r="G245" t="inlineStr">
        <is>
          <t>ALINGSÅS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17680-2026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46217</v>
      </c>
      <c r="F246" t="inlineStr">
        <is>
          <t>VÄSTRA GÖTALANDS LÄN</t>
        </is>
      </c>
      <c r="G246" t="inlineStr">
        <is>
          <t>ALINGSÅS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17834-2026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46122</v>
      </c>
      <c r="E247" s="1" t="n">
        <v>46217</v>
      </c>
      <c r="F247" t="inlineStr">
        <is>
          <t>VÄSTRA GÖTALANDS LÄN</t>
        </is>
      </c>
      <c r="G247" t="inlineStr">
        <is>
          <t>ALINGSÅS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18574-2026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46217</v>
      </c>
      <c r="F248" t="inlineStr">
        <is>
          <t>VÄSTRA GÖTALANDS LÄN</t>
        </is>
      </c>
      <c r="G248" t="inlineStr">
        <is>
          <t>ALINGSÅS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18360-2026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46126</v>
      </c>
      <c r="E249" s="1" t="n">
        <v>46217</v>
      </c>
      <c r="F249" t="inlineStr">
        <is>
          <t>VÄSTRA GÖTALANDS LÄN</t>
        </is>
      </c>
      <c r="G249" t="inlineStr">
        <is>
          <t>ALINGSÅS</t>
        </is>
      </c>
      <c r="H249" t="inlineStr">
        <is>
          <t>Kommuner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24995-2026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46217</v>
      </c>
      <c r="F250" t="inlineStr">
        <is>
          <t>VÄSTRA GÖTALANDS LÄN</t>
        </is>
      </c>
      <c r="G250" t="inlineStr">
        <is>
          <t>ALINGSÅS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18889-2026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46217</v>
      </c>
      <c r="F251" t="inlineStr">
        <is>
          <t>VÄSTRA GÖTALANDS LÄN</t>
        </is>
      </c>
      <c r="G251" t="inlineStr">
        <is>
          <t>ALINGSÅS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27431-2023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46217</v>
      </c>
      <c r="F252" t="inlineStr">
        <is>
          <t>VÄSTRA GÖTALANDS LÄN</t>
        </is>
      </c>
      <c r="G252" t="inlineStr">
        <is>
          <t>ALINGSÅS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19025-2026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46131</v>
      </c>
      <c r="E253" s="1" t="n">
        <v>46217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46217</v>
      </c>
      <c r="F254" t="inlineStr">
        <is>
          <t>VÄSTRA GÖTALANDS LÄN</t>
        </is>
      </c>
      <c r="G254" t="inlineStr">
        <is>
          <t>ALINGSÅS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24668-2026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46217</v>
      </c>
      <c r="F255" t="inlineStr">
        <is>
          <t>VÄSTRA GÖTALANDS LÄN</t>
        </is>
      </c>
      <c r="G255" t="inlineStr">
        <is>
          <t>ALINGSÅS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25313-2026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46217</v>
      </c>
      <c r="F256" t="inlineStr">
        <is>
          <t>VÄSTRA GÖTALANDS LÄN</t>
        </is>
      </c>
      <c r="G256" t="inlineStr">
        <is>
          <t>ALINGSÅS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39963-2021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44418</v>
      </c>
      <c r="E257" s="1" t="n">
        <v>46217</v>
      </c>
      <c r="F257" t="inlineStr">
        <is>
          <t>VÄSTRA GÖTALANDS LÄN</t>
        </is>
      </c>
      <c r="G257" t="inlineStr">
        <is>
          <t>ALINGSÅS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25302-2026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46217</v>
      </c>
      <c r="F258" t="inlineStr">
        <is>
          <t>VÄSTRA GÖTALANDS LÄN</t>
        </is>
      </c>
      <c r="G258" t="inlineStr">
        <is>
          <t>ALINGSÅS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25343-2026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46176</v>
      </c>
      <c r="E259" s="1" t="n">
        <v>46217</v>
      </c>
      <c r="F259" t="inlineStr">
        <is>
          <t>VÄSTRA GÖTALANDS LÄN</t>
        </is>
      </c>
      <c r="G259" t="inlineStr">
        <is>
          <t>ALINGSÅS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46217</v>
      </c>
      <c r="F260" t="inlineStr">
        <is>
          <t>VÄSTRA GÖTALANDS LÄN</t>
        </is>
      </c>
      <c r="G260" t="inlineStr">
        <is>
          <t>ALINGSÅS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8981-2023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44979</v>
      </c>
      <c r="E261" s="1" t="n">
        <v>46217</v>
      </c>
      <c r="F261" t="inlineStr">
        <is>
          <t>VÄSTRA GÖTALANDS LÄN</t>
        </is>
      </c>
      <c r="G261" t="inlineStr">
        <is>
          <t>ALINGSÅS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57491-2022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44896</v>
      </c>
      <c r="E262" s="1" t="n">
        <v>46217</v>
      </c>
      <c r="F262" t="inlineStr">
        <is>
          <t>VÄSTRA GÖTALANDS LÄN</t>
        </is>
      </c>
      <c r="G262" t="inlineStr">
        <is>
          <t>ALINGSÅS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8828-2024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46217</v>
      </c>
      <c r="F263" t="inlineStr">
        <is>
          <t>VÄSTRA GÖTALANDS LÄN</t>
        </is>
      </c>
      <c r="G263" t="inlineStr">
        <is>
          <t>ALINGSÅS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52297-2024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46217</v>
      </c>
      <c r="F264" t="inlineStr">
        <is>
          <t>VÄSTRA GÖTALANDS LÄN</t>
        </is>
      </c>
      <c r="G264" t="inlineStr">
        <is>
          <t>ALINGSÅS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52302-2024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46217</v>
      </c>
      <c r="F265" t="inlineStr">
        <is>
          <t>VÄSTRA GÖTALANDS LÄN</t>
        </is>
      </c>
      <c r="G265" t="inlineStr">
        <is>
          <t>ALINGSÅS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59541-2022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46217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46217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8980-2023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46217</v>
      </c>
      <c r="F268" t="inlineStr">
        <is>
          <t>VÄSTRA GÖTALANDS LÄN</t>
        </is>
      </c>
      <c r="G268" t="inlineStr">
        <is>
          <t>ALINGSÅS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46217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46217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53887-2021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46217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46217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17048-2024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46217</v>
      </c>
      <c r="F273" t="inlineStr">
        <is>
          <t>VÄSTRA GÖTALANDS LÄN</t>
        </is>
      </c>
      <c r="G273" t="inlineStr">
        <is>
          <t>ALINGSÅS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46217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46217</v>
      </c>
      <c r="F275" t="inlineStr">
        <is>
          <t>VÄSTRA GÖTALANDS LÄN</t>
        </is>
      </c>
      <c r="G275" t="inlineStr">
        <is>
          <t>ALINGSÅS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36332-2023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45152</v>
      </c>
      <c r="E276" s="1" t="n">
        <v>46217</v>
      </c>
      <c r="F276" t="inlineStr">
        <is>
          <t>VÄSTRA GÖTALANDS LÄN</t>
        </is>
      </c>
      <c r="G276" t="inlineStr">
        <is>
          <t>ALINGSÅS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38955-2022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44816</v>
      </c>
      <c r="E277" s="1" t="n">
        <v>46217</v>
      </c>
      <c r="F277" t="inlineStr">
        <is>
          <t>VÄSTRA GÖTALANDS LÄN</t>
        </is>
      </c>
      <c r="G277" t="inlineStr">
        <is>
          <t>ALINGSÅS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39472-2023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46217</v>
      </c>
      <c r="F278" t="inlineStr">
        <is>
          <t>VÄSTRA GÖTALANDS LÄN</t>
        </is>
      </c>
      <c r="G278" t="inlineStr">
        <is>
          <t>ALINGSÅS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57450-2024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46217</v>
      </c>
      <c r="F279" t="inlineStr">
        <is>
          <t>VÄSTRA GÖTALANDS LÄN</t>
        </is>
      </c>
      <c r="G279" t="inlineStr">
        <is>
          <t>ALINGSÅS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46217</v>
      </c>
      <c r="F280" t="inlineStr">
        <is>
          <t>VÄSTRA GÖTALANDS LÄN</t>
        </is>
      </c>
      <c r="G280" t="inlineStr">
        <is>
          <t>ALINGSÅS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52298-2024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46217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44991</v>
      </c>
      <c r="E282" s="1" t="n">
        <v>46217</v>
      </c>
      <c r="F282" t="inlineStr">
        <is>
          <t>VÄSTRA GÖTALANDS LÄN</t>
        </is>
      </c>
      <c r="G282" t="inlineStr">
        <is>
          <t>ALINGSÅS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46217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11119-2024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46217</v>
      </c>
      <c r="F284" t="inlineStr">
        <is>
          <t>VÄSTRA GÖTALANDS LÄN</t>
        </is>
      </c>
      <c r="G284" t="inlineStr">
        <is>
          <t>ALINGSÅS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19562-2024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46217</v>
      </c>
      <c r="F285" t="inlineStr">
        <is>
          <t>VÄSTRA GÖTALANDS LÄN</t>
        </is>
      </c>
      <c r="G285" t="inlineStr">
        <is>
          <t>ALINGSÅS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18940-2024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46217</v>
      </c>
      <c r="F286" t="inlineStr">
        <is>
          <t>VÄSTRA GÖTALANDS LÄN</t>
        </is>
      </c>
      <c r="G286" t="inlineStr">
        <is>
          <t>ALINGSÅS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33491-2024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45519</v>
      </c>
      <c r="E287" s="1" t="n">
        <v>46217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23533-2025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46217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46217</v>
      </c>
      <c r="F289" t="inlineStr">
        <is>
          <t>VÄSTRA GÖTALANDS LÄN</t>
        </is>
      </c>
      <c r="G289" t="inlineStr">
        <is>
          <t>ALINGSÅS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60026-2023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46217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32026-2024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46217</v>
      </c>
      <c r="F291" t="inlineStr">
        <is>
          <t>VÄSTRA GÖTALANDS LÄN</t>
        </is>
      </c>
      <c r="G291" t="inlineStr">
        <is>
          <t>ALINGSÅS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25897-2025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46217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25562-2025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46217</v>
      </c>
      <c r="F293" t="inlineStr">
        <is>
          <t>VÄSTRA GÖTALANDS LÄN</t>
        </is>
      </c>
      <c r="G293" t="inlineStr">
        <is>
          <t>ALINGSÅS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25896-2025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46217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26096-2025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46217</v>
      </c>
      <c r="F295" t="inlineStr">
        <is>
          <t>VÄSTRA GÖTALANDS LÄN</t>
        </is>
      </c>
      <c r="G295" t="inlineStr">
        <is>
          <t>ALINGSÅS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54579-2024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45617</v>
      </c>
      <c r="E296" s="1" t="n">
        <v>46217</v>
      </c>
      <c r="F296" t="inlineStr">
        <is>
          <t>VÄSTRA GÖTALANDS LÄN</t>
        </is>
      </c>
      <c r="G296" t="inlineStr">
        <is>
          <t>ALINGSÅS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12968-2025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45734</v>
      </c>
      <c r="E297" s="1" t="n">
        <v>46217</v>
      </c>
      <c r="F297" t="inlineStr">
        <is>
          <t>VÄSTRA GÖTALANDS LÄN</t>
        </is>
      </c>
      <c r="G297" t="inlineStr">
        <is>
          <t>ALINGSÅS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12276-2024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45378</v>
      </c>
      <c r="E298" s="1" t="n">
        <v>46217</v>
      </c>
      <c r="F298" t="inlineStr">
        <is>
          <t>VÄSTRA GÖTALANDS LÄN</t>
        </is>
      </c>
      <c r="G298" t="inlineStr">
        <is>
          <t>ALINGSÅS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27202-2025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46217</v>
      </c>
      <c r="F299" t="inlineStr">
        <is>
          <t>VÄSTRA GÖTALANDS LÄN</t>
        </is>
      </c>
      <c r="G299" t="inlineStr">
        <is>
          <t>ALINGSÅS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28168-2025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46217</v>
      </c>
      <c r="F300" t="inlineStr">
        <is>
          <t>VÄSTRA GÖTALANDS LÄN</t>
        </is>
      </c>
      <c r="G300" t="inlineStr">
        <is>
          <t>ALINGSÅS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11388-2025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46217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10541-2025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45721</v>
      </c>
      <c r="E302" s="1" t="n">
        <v>46217</v>
      </c>
      <c r="F302" t="inlineStr">
        <is>
          <t>VÄSTRA GÖTALANDS LÄN</t>
        </is>
      </c>
      <c r="G302" t="inlineStr">
        <is>
          <t>ALINGSÅS</t>
        </is>
      </c>
      <c r="H302" t="inlineStr">
        <is>
          <t>Kyrkan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46217</v>
      </c>
      <c r="F303" t="inlineStr">
        <is>
          <t>VÄSTRA GÖTALANDS LÄN</t>
        </is>
      </c>
      <c r="G303" t="inlineStr">
        <is>
          <t>ALINGSÅS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46217</v>
      </c>
      <c r="F304" t="inlineStr">
        <is>
          <t>VÄSTRA GÖTALANDS LÄN</t>
        </is>
      </c>
      <c r="G304" t="inlineStr">
        <is>
          <t>ALINGSÅS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11459-2025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45726</v>
      </c>
      <c r="E305" s="1" t="n">
        <v>46217</v>
      </c>
      <c r="F305" t="inlineStr">
        <is>
          <t>VÄSTRA GÖTALANDS LÄN</t>
        </is>
      </c>
      <c r="G305" t="inlineStr">
        <is>
          <t>ALINGSÅS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11458-2025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46217</v>
      </c>
      <c r="F306" t="inlineStr">
        <is>
          <t>VÄSTRA GÖTALANDS LÄN</t>
        </is>
      </c>
      <c r="G306" t="inlineStr">
        <is>
          <t>ALINGSÅS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19553-2024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45429</v>
      </c>
      <c r="E307" s="1" t="n">
        <v>46217</v>
      </c>
      <c r="F307" t="inlineStr">
        <is>
          <t>VÄSTRA GÖTALANDS LÄN</t>
        </is>
      </c>
      <c r="G307" t="inlineStr">
        <is>
          <t>ALINGSÅS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35004-2025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45850</v>
      </c>
      <c r="E308" s="1" t="n">
        <v>46217</v>
      </c>
      <c r="F308" t="inlineStr">
        <is>
          <t>VÄSTRA GÖTALANDS LÄN</t>
        </is>
      </c>
      <c r="G308" t="inlineStr">
        <is>
          <t>ALINGSÅS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59292-2023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46217</v>
      </c>
      <c r="F309" t="inlineStr">
        <is>
          <t>VÄSTRA GÖTALANDS LÄN</t>
        </is>
      </c>
      <c r="G309" t="inlineStr">
        <is>
          <t>ALINGSÅS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35003-2025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45850</v>
      </c>
      <c r="E310" s="1" t="n">
        <v>46217</v>
      </c>
      <c r="F310" t="inlineStr">
        <is>
          <t>VÄSTRA GÖTALANDS LÄN</t>
        </is>
      </c>
      <c r="G310" t="inlineStr">
        <is>
          <t>ALINGSÅS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17550-2025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46217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46217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46217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46217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46217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46217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46217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46217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46217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46217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46217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2026-07-14T09:02:10Z</dcterms:created>
  <dcterms:modified xmlns:dcterms="http://purl.org/dc/terms/" xmlns:xsi="http://www.w3.org/2001/XMLSchema-instance" xsi:type="dcterms:W3CDTF">2026-07-14T09:02:10Z</dcterms:modified>
</cp:coreProperties>
</file>