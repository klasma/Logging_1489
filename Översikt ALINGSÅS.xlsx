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46316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46316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46316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46316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46316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46316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46316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21662-2024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45442</v>
      </c>
      <c r="E20" s="1" t="n">
        <v>46316</v>
      </c>
      <c r="F20" t="inlineStr">
        <is>
          <t>VÄSTRA GÖTALANDS LÄN</t>
        </is>
      </c>
      <c r="G20" t="inlineStr">
        <is>
          <t>ALINGSÅS</t>
        </is>
      </c>
      <c r="I20" t="n">
        <v>6.2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Göktyta
Törnskata
Ärtsångare</t>
        </is>
      </c>
      <c r="W20">
        <f>HYPERLINK("https://klasma.github.io/Logging_1489/artfynd/A 21662-2024 artfynd.xlsx", "A 21662-2024")</f>
        <v/>
      </c>
      <c r="X20">
        <f>HYPERLINK("https://klasma.github.io/Logging_1489/kartor/A 21662-2024 karta.png", "A 21662-2024")</f>
        <v/>
      </c>
      <c r="Y20">
        <f>HYPERLINK("https://klasma.github.io/Logging_1489/kartor_geotiff/A 21662-2024 georefererad karta.tif", "A 21662-2024")</f>
        <v/>
      </c>
      <c r="AA20">
        <f>HYPERLINK("https://klasma.github.io/Logging_1489/klagomål/A 21662-2024 FSC-klagomål.docx", "A 21662-2024")</f>
        <v/>
      </c>
      <c r="AB20">
        <f>HYPERLINK("https://klasma.github.io/Logging_1489/klagomålsmail/A 21662-2024 FSC-klagomål mail.docx", "A 21662-2024")</f>
        <v/>
      </c>
      <c r="AC20">
        <f>HYPERLINK("https://klasma.github.io/Logging_1489/tillsyn/A 21662-2024 tillsynsbegäran.docx", "A 21662-2024")</f>
        <v/>
      </c>
      <c r="AD20">
        <f>HYPERLINK("https://klasma.github.io/Logging_1489/tillsynsmail/A 21662-2024 tillsynsbegäran mail.docx", "A 21662-2024")</f>
        <v/>
      </c>
      <c r="AE20">
        <f>HYPERLINK("https://klasma.github.io/Logging_1489/fåglar/A 21662-2024 prioriterade fågelarter.docx", "A 21662-2024")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46316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46316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46316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46316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46316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46316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46316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46316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46316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46316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46316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46316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46316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46316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33222-2026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46246</v>
      </c>
      <c r="E35" s="1" t="n">
        <v>46316</v>
      </c>
      <c r="F35" t="inlineStr">
        <is>
          <t>VÄSTRA GÖTALANDS LÄN</t>
        </is>
      </c>
      <c r="G35" t="inlineStr">
        <is>
          <t>ALINGSÅS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Kornknutmossa</t>
        </is>
      </c>
      <c r="W35">
        <f>HYPERLINK("https://klasma.github.io/Logging_1489/artfynd/A 33222-2026 artfynd.xlsx", "A 33222-2026")</f>
        <v/>
      </c>
      <c r="X35">
        <f>HYPERLINK("https://klasma.github.io/Logging_1489/kartor/A 33222-2026 karta.png", "A 33222-2026")</f>
        <v/>
      </c>
      <c r="Y35">
        <f>HYPERLINK("https://klasma.github.io/Logging_1489/kartor_geotiff/A 33222-2026 georefererad karta.tif", "A 33222-2026")</f>
        <v/>
      </c>
      <c r="AA35">
        <f>HYPERLINK("https://klasma.github.io/Logging_1489/klagomål/A 33222-2026 FSC-klagomål.docx", "A 33222-2026")</f>
        <v/>
      </c>
      <c r="AB35">
        <f>HYPERLINK("https://klasma.github.io/Logging_1489/klagomålsmail/A 33222-2026 FSC-klagomål mail.docx", "A 33222-2026")</f>
        <v/>
      </c>
      <c r="AC35">
        <f>HYPERLINK("https://klasma.github.io/Logging_1489/tillsyn/A 33222-2026 tillsynsbegäran.docx", "A 33222-2026")</f>
        <v/>
      </c>
      <c r="AD35">
        <f>HYPERLINK("https://klasma.github.io/Logging_1489/tillsynsmail/A 33222-2026 tillsynsbegäran mail.docx", "A 33222-2026")</f>
        <v/>
      </c>
    </row>
    <row r="36" ht="15" customHeight="1">
      <c r="A36" t="inlineStr">
        <is>
          <t>A 51927-2024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45607</v>
      </c>
      <c r="E36" s="1" t="n">
        <v>46316</v>
      </c>
      <c r="F36" t="inlineStr">
        <is>
          <t>VÄSTRA GÖTALANDS LÄN</t>
        </is>
      </c>
      <c r="G36" t="inlineStr">
        <is>
          <t>ALINGSÅS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51927-2024 artfynd.xlsx", "A 51927-2024")</f>
        <v/>
      </c>
      <c r="X36">
        <f>HYPERLINK("https://klasma.github.io/Logging_1489/kartor/A 51927-2024 karta.png", "A 51927-2024")</f>
        <v/>
      </c>
      <c r="Y36">
        <f>HYPERLINK("https://klasma.github.io/Logging_1489/kartor_geotiff/A 51927-2024 georefererad karta.tif", "A 51927-2024")</f>
        <v/>
      </c>
      <c r="AA36">
        <f>HYPERLINK("https://klasma.github.io/Logging_1489/klagomål/A 51927-2024 FSC-klagomål.docx", "A 51927-2024")</f>
        <v/>
      </c>
      <c r="AB36">
        <f>HYPERLINK("https://klasma.github.io/Logging_1489/klagomålsmail/A 51927-2024 FSC-klagomål mail.docx", "A 51927-2024")</f>
        <v/>
      </c>
      <c r="AC36">
        <f>HYPERLINK("https://klasma.github.io/Logging_1489/tillsyn/A 51927-2024 tillsynsbegäran.docx", "A 51927-2024")</f>
        <v/>
      </c>
      <c r="AD36">
        <f>HYPERLINK("https://klasma.github.io/Logging_1489/tillsynsmail/A 51927-2024 tillsynsbegäran mail.docx", "A 51927-2024")</f>
        <v/>
      </c>
    </row>
    <row r="37" ht="15" customHeight="1">
      <c r="A37" t="inlineStr">
        <is>
          <t>A 37537-2024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46316</v>
      </c>
      <c r="F37" t="inlineStr">
        <is>
          <t>VÄSTRA GÖTALANDS LÄN</t>
        </is>
      </c>
      <c r="G37" t="inlineStr">
        <is>
          <t>ALINGSÅS</t>
        </is>
      </c>
      <c r="I37" t="n">
        <v>3.5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Strandlummer</t>
        </is>
      </c>
      <c r="W37">
        <f>HYPERLINK("https://klasma.github.io/Logging_1489/artfynd/A 37537-2024 artfynd.xlsx", "A 37537-2024")</f>
        <v/>
      </c>
      <c r="X37">
        <f>HYPERLINK("https://klasma.github.io/Logging_1489/kartor/A 37537-2024 karta.png", "A 37537-2024")</f>
        <v/>
      </c>
      <c r="Y37">
        <f>HYPERLINK("https://klasma.github.io/Logging_1489/kartor_geotiff/A 37537-2024 georefererad karta.tif", "A 37537-2024")</f>
        <v/>
      </c>
      <c r="AA37">
        <f>HYPERLINK("https://klasma.github.io/Logging_1489/klagomål/A 37537-2024 FSC-klagomål.docx", "A 37537-2024")</f>
        <v/>
      </c>
      <c r="AB37">
        <f>HYPERLINK("https://klasma.github.io/Logging_1489/klagomålsmail/A 37537-2024 FSC-klagomål mail.docx", "A 37537-2024")</f>
        <v/>
      </c>
      <c r="AC37">
        <f>HYPERLINK("https://klasma.github.io/Logging_1489/tillsyn/A 37537-2024 tillsynsbegäran.docx", "A 37537-2024")</f>
        <v/>
      </c>
      <c r="AD37">
        <f>HYPERLINK("https://klasma.github.io/Logging_1489/tillsynsmail/A 37537-2024 tillsynsbegäran mail.docx", "A 37537-2024")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46316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46316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46316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46316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46316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46316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46316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46316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46316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46316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46316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46316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46316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46316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46316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46316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46316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46316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46316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46316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46316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46316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46316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46316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46316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46316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46316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46316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46316</v>
      </c>
      <c r="F69" t="inlineStr">
        <is>
          <t>VÄSTRA GÖTALANDS LÄN</t>
        </is>
      </c>
      <c r="G69" t="inlineStr">
        <is>
          <t>ALINGSÅS</t>
        </is>
      </c>
      <c r="H69" t="inlineStr">
        <is>
          <t>Kyrkan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46316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46316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46316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46316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46316</v>
      </c>
      <c r="F74" t="inlineStr">
        <is>
          <t>VÄSTRA GÖTALANDS LÄN</t>
        </is>
      </c>
      <c r="G74" t="inlineStr">
        <is>
          <t>ALINGSÅS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46316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46316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46316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46316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46316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46316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46316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46316</v>
      </c>
      <c r="F82" t="inlineStr">
        <is>
          <t>VÄSTRA GÖTALANDS LÄN</t>
        </is>
      </c>
      <c r="G82" t="inlineStr">
        <is>
          <t>ALINGSÅS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46316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45681</v>
      </c>
      <c r="E84" s="1" t="n">
        <v>46316</v>
      </c>
      <c r="F84" t="inlineStr">
        <is>
          <t>VÄSTRA GÖTALANDS LÄN</t>
        </is>
      </c>
      <c r="G84" t="inlineStr">
        <is>
          <t>ALINGSÅS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32026-2024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46316</v>
      </c>
      <c r="F85" t="inlineStr">
        <is>
          <t>VÄSTRA GÖTALANDS LÄN</t>
        </is>
      </c>
      <c r="G85" t="inlineStr">
        <is>
          <t>ALINGSÅS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45258</v>
      </c>
      <c r="E86" s="1" t="n">
        <v>46316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45568</v>
      </c>
      <c r="E87" s="1" t="n">
        <v>46316</v>
      </c>
      <c r="F87" t="inlineStr">
        <is>
          <t>VÄSTRA GÖTALANDS LÄN</t>
        </is>
      </c>
      <c r="G87" t="inlineStr">
        <is>
          <t>ALINGSÅS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46316</v>
      </c>
      <c r="F88" t="inlineStr">
        <is>
          <t>VÄSTRA GÖTALANDS LÄN</t>
        </is>
      </c>
      <c r="G88" t="inlineStr">
        <is>
          <t>ALINGSÅS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46316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46316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46316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46316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46316</v>
      </c>
      <c r="F93" t="inlineStr">
        <is>
          <t>VÄSTRA GÖTALANDS LÄN</t>
        </is>
      </c>
      <c r="G93" t="inlineStr">
        <is>
          <t>ALINGSÅS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46316</v>
      </c>
      <c r="F94" t="inlineStr">
        <is>
          <t>VÄSTRA GÖTALANDS LÄN</t>
        </is>
      </c>
      <c r="G94" t="inlineStr">
        <is>
          <t>ALINGSÅS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46316</v>
      </c>
      <c r="F95" t="inlineStr">
        <is>
          <t>VÄSTRA GÖTALANDS LÄN</t>
        </is>
      </c>
      <c r="G95" t="inlineStr">
        <is>
          <t>ALINGSÅS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46316</v>
      </c>
      <c r="F96" t="inlineStr">
        <is>
          <t>VÄSTRA GÖTALANDS LÄN</t>
        </is>
      </c>
      <c r="G96" t="inlineStr">
        <is>
          <t>ALINGSÅS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46316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46316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46316</v>
      </c>
      <c r="F99" t="inlineStr">
        <is>
          <t>VÄSTRA GÖTALANDS LÄN</t>
        </is>
      </c>
      <c r="G99" t="inlineStr">
        <is>
          <t>ALINGSÅS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46316</v>
      </c>
      <c r="F100" t="inlineStr">
        <is>
          <t>VÄSTRA GÖTALANDS LÄN</t>
        </is>
      </c>
      <c r="G100" t="inlineStr">
        <is>
          <t>ALINGSÅS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46316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54579-2024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45617</v>
      </c>
      <c r="E102" s="1" t="n">
        <v>46316</v>
      </c>
      <c r="F102" t="inlineStr">
        <is>
          <t>VÄSTRA GÖTALANDS LÄN</t>
        </is>
      </c>
      <c r="G102" t="inlineStr">
        <is>
          <t>ALINGSÅS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46316</v>
      </c>
      <c r="F103" t="inlineStr">
        <is>
          <t>VÄSTRA GÖTALANDS LÄN</t>
        </is>
      </c>
      <c r="G103" t="inlineStr">
        <is>
          <t>ALINGSÅS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45378</v>
      </c>
      <c r="E104" s="1" t="n">
        <v>46316</v>
      </c>
      <c r="F104" t="inlineStr">
        <is>
          <t>VÄSTRA GÖTALANDS LÄN</t>
        </is>
      </c>
      <c r="G104" t="inlineStr">
        <is>
          <t>ALINGSÅS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46316</v>
      </c>
      <c r="F105" t="inlineStr">
        <is>
          <t>VÄSTRA GÖTALANDS LÄN</t>
        </is>
      </c>
      <c r="G105" t="inlineStr">
        <is>
          <t>ALINGSÅS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46316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46316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46316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45818</v>
      </c>
      <c r="E109" s="1" t="n">
        <v>46316</v>
      </c>
      <c r="F109" t="inlineStr">
        <is>
          <t>VÄSTRA GÖTALANDS LÄN</t>
        </is>
      </c>
      <c r="G109" t="inlineStr">
        <is>
          <t>ALINGSÅS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46316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46316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42710-2025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45908</v>
      </c>
      <c r="E112" s="1" t="n">
        <v>46316</v>
      </c>
      <c r="F112" t="inlineStr">
        <is>
          <t>VÄSTRA GÖTALANDS LÄN</t>
        </is>
      </c>
      <c r="G112" t="inlineStr">
        <is>
          <t>ALINGSÅS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46316</v>
      </c>
      <c r="F113" t="inlineStr">
        <is>
          <t>VÄSTRA GÖTALANDS LÄN</t>
        </is>
      </c>
      <c r="G113" t="inlineStr">
        <is>
          <t>ALINGSÅS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46316</v>
      </c>
      <c r="F114" t="inlineStr">
        <is>
          <t>VÄSTRA GÖTALANDS LÄN</t>
        </is>
      </c>
      <c r="G114" t="inlineStr">
        <is>
          <t>ALINGSÅS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46316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46316</v>
      </c>
      <c r="F116" t="inlineStr">
        <is>
          <t>VÄSTRA GÖTALANDS LÄN</t>
        </is>
      </c>
      <c r="G116" t="inlineStr">
        <is>
          <t>ALINGSÅS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46316</v>
      </c>
      <c r="F117" t="inlineStr">
        <is>
          <t>VÄSTRA GÖTALANDS LÄN</t>
        </is>
      </c>
      <c r="G117" t="inlineStr">
        <is>
          <t>ALINGSÅS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45335</v>
      </c>
      <c r="E118" s="1" t="n">
        <v>46316</v>
      </c>
      <c r="F118" t="inlineStr">
        <is>
          <t>VÄSTRA GÖTALANDS LÄN</t>
        </is>
      </c>
      <c r="G118" t="inlineStr">
        <is>
          <t>ALINGSÅS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46316</v>
      </c>
      <c r="F119" t="inlineStr">
        <is>
          <t>VÄSTRA GÖTALANDS LÄN</t>
        </is>
      </c>
      <c r="G119" t="inlineStr">
        <is>
          <t>ALINGSÅS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46044</v>
      </c>
      <c r="E120" s="1" t="n">
        <v>46316</v>
      </c>
      <c r="F120" t="inlineStr">
        <is>
          <t>VÄSTRA GÖTALANDS LÄN</t>
        </is>
      </c>
      <c r="G120" t="inlineStr">
        <is>
          <t>ALINGSÅS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46316</v>
      </c>
      <c r="F121" t="inlineStr">
        <is>
          <t>VÄSTRA GÖTALANDS LÄN</t>
        </is>
      </c>
      <c r="G121" t="inlineStr">
        <is>
          <t>ALINGSÅS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46316</v>
      </c>
      <c r="F122" t="inlineStr">
        <is>
          <t>VÄSTRA GÖTALANDS LÄN</t>
        </is>
      </c>
      <c r="G122" t="inlineStr">
        <is>
          <t>ALINGSÅS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46316</v>
      </c>
      <c r="F123" t="inlineStr">
        <is>
          <t>VÄSTRA GÖTALANDS LÄN</t>
        </is>
      </c>
      <c r="G123" t="inlineStr">
        <is>
          <t>ALINGSÅS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46316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46316</v>
      </c>
      <c r="F125" t="inlineStr">
        <is>
          <t>VÄSTRA GÖTALANDS LÄN</t>
        </is>
      </c>
      <c r="G125" t="inlineStr">
        <is>
          <t>ALINGSÅS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46316</v>
      </c>
      <c r="F126" t="inlineStr">
        <is>
          <t>VÄSTRA GÖTALANDS LÄN</t>
        </is>
      </c>
      <c r="G126" t="inlineStr">
        <is>
          <t>ALINGSÅS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44991</v>
      </c>
      <c r="E127" s="1" t="n">
        <v>46316</v>
      </c>
      <c r="F127" t="inlineStr">
        <is>
          <t>VÄSTRA GÖTALANDS LÄN</t>
        </is>
      </c>
      <c r="G127" t="inlineStr">
        <is>
          <t>ALINGSÅS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46316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46316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46316</v>
      </c>
      <c r="F130" t="inlineStr">
        <is>
          <t>VÄSTRA GÖTALANDS LÄN</t>
        </is>
      </c>
      <c r="G130" t="inlineStr">
        <is>
          <t>ALINGSÅS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46316</v>
      </c>
      <c r="F131" t="inlineStr">
        <is>
          <t>VÄSTRA GÖTALANDS LÄN</t>
        </is>
      </c>
      <c r="G131" t="inlineStr">
        <is>
          <t>ALINGSÅS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64194-2023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45279</v>
      </c>
      <c r="E132" s="1" t="n">
        <v>46316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46316</v>
      </c>
      <c r="F133" t="inlineStr">
        <is>
          <t>VÄSTRA GÖTALANDS LÄN</t>
        </is>
      </c>
      <c r="G133" t="inlineStr">
        <is>
          <t>ALINGSÅS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16612-2022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44672</v>
      </c>
      <c r="E134" s="1" t="n">
        <v>46316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46316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Kyrkan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46316</v>
      </c>
      <c r="F136" t="inlineStr">
        <is>
          <t>VÄSTRA GÖTALANDS LÄN</t>
        </is>
      </c>
      <c r="G136" t="inlineStr">
        <is>
          <t>ALINGSÅS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46316</v>
      </c>
      <c r="F137" t="inlineStr">
        <is>
          <t>VÄSTRA GÖTALANDS LÄN</t>
        </is>
      </c>
      <c r="G137" t="inlineStr">
        <is>
          <t>ALINGSÅS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64070-2023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45279</v>
      </c>
      <c r="E138" s="1" t="n">
        <v>46316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46316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46316</v>
      </c>
      <c r="F140" t="inlineStr">
        <is>
          <t>VÄSTRA GÖTALANDS LÄN</t>
        </is>
      </c>
      <c r="G140" t="inlineStr">
        <is>
          <t>ALINGSÅS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46316</v>
      </c>
      <c r="F141" t="inlineStr">
        <is>
          <t>VÄSTRA GÖTALANDS LÄN</t>
        </is>
      </c>
      <c r="G141" t="inlineStr">
        <is>
          <t>ALINGSÅS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46316</v>
      </c>
      <c r="F142" t="inlineStr">
        <is>
          <t>VÄSTRA GÖTALANDS LÄN</t>
        </is>
      </c>
      <c r="G142" t="inlineStr">
        <is>
          <t>ALINGSÅS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46316</v>
      </c>
      <c r="F143" t="inlineStr">
        <is>
          <t>VÄSTRA GÖTALANDS LÄN</t>
        </is>
      </c>
      <c r="G143" t="inlineStr">
        <is>
          <t>ALINGSÅS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46316</v>
      </c>
      <c r="F144" t="inlineStr">
        <is>
          <t>VÄSTRA GÖTALANDS LÄN</t>
        </is>
      </c>
      <c r="G144" t="inlineStr">
        <is>
          <t>ALINGSÅS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46316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46316</v>
      </c>
      <c r="F146" t="inlineStr">
        <is>
          <t>VÄSTRA GÖTALANDS LÄN</t>
        </is>
      </c>
      <c r="G146" t="inlineStr">
        <is>
          <t>ALINGSÅS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46316</v>
      </c>
      <c r="F147" t="inlineStr">
        <is>
          <t>VÄSTRA GÖTALANDS LÄN</t>
        </is>
      </c>
      <c r="G147" t="inlineStr">
        <is>
          <t>ALINGSÅS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46316</v>
      </c>
      <c r="F148" t="inlineStr">
        <is>
          <t>VÄSTRA GÖTALANDS LÄN</t>
        </is>
      </c>
      <c r="G148" t="inlineStr">
        <is>
          <t>ALINGSÅS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46316</v>
      </c>
      <c r="F149" t="inlineStr">
        <is>
          <t>VÄSTRA GÖTALANDS LÄN</t>
        </is>
      </c>
      <c r="G149" t="inlineStr">
        <is>
          <t>ALINGSÅS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46316</v>
      </c>
      <c r="F150" t="inlineStr">
        <is>
          <t>VÄSTRA GÖTALANDS LÄN</t>
        </is>
      </c>
      <c r="G150" t="inlineStr">
        <is>
          <t>ALINGSÅS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46316</v>
      </c>
      <c r="F151" t="inlineStr">
        <is>
          <t>VÄSTRA GÖTALANDS LÄN</t>
        </is>
      </c>
      <c r="G151" t="inlineStr">
        <is>
          <t>ALINGSÅS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46316</v>
      </c>
      <c r="F152" t="inlineStr">
        <is>
          <t>VÄSTRA GÖTALANDS LÄN</t>
        </is>
      </c>
      <c r="G152" t="inlineStr">
        <is>
          <t>ALINGSÅS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46316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46316</v>
      </c>
      <c r="F154" t="inlineStr">
        <is>
          <t>VÄSTRA GÖTALANDS LÄN</t>
        </is>
      </c>
      <c r="G154" t="inlineStr">
        <is>
          <t>ALINGSÅS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63143-2021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46316</v>
      </c>
      <c r="F155" t="inlineStr">
        <is>
          <t>VÄSTRA GÖTALANDS LÄN</t>
        </is>
      </c>
      <c r="G155" t="inlineStr">
        <is>
          <t>ALINGSÅS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46316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53628-2023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45230</v>
      </c>
      <c r="E157" s="1" t="n">
        <v>46316</v>
      </c>
      <c r="F157" t="inlineStr">
        <is>
          <t>VÄSTRA GÖTALANDS LÄN</t>
        </is>
      </c>
      <c r="G157" t="inlineStr">
        <is>
          <t>ALINGSÅS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44727</v>
      </c>
      <c r="E158" s="1" t="n">
        <v>46316</v>
      </c>
      <c r="F158" t="inlineStr">
        <is>
          <t>VÄSTRA GÖTALANDS LÄN</t>
        </is>
      </c>
      <c r="G158" t="inlineStr">
        <is>
          <t>ALINGSÅS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46316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46316</v>
      </c>
      <c r="F160" t="inlineStr">
        <is>
          <t>VÄSTRA GÖTALANDS LÄN</t>
        </is>
      </c>
      <c r="G160" t="inlineStr">
        <is>
          <t>ALINGSÅS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46108</v>
      </c>
      <c r="E161" s="1" t="n">
        <v>46316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46316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46316</v>
      </c>
      <c r="F163" t="inlineStr">
        <is>
          <t>VÄSTRA GÖTALANDS LÄN</t>
        </is>
      </c>
      <c r="G163" t="inlineStr">
        <is>
          <t>ALINGSÅS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46316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45966</v>
      </c>
      <c r="E165" s="1" t="n">
        <v>46316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46316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32286-2024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45512</v>
      </c>
      <c r="E167" s="1" t="n">
        <v>46316</v>
      </c>
      <c r="F167" t="inlineStr">
        <is>
          <t>VÄSTRA GÖTALANDS LÄN</t>
        </is>
      </c>
      <c r="G167" t="inlineStr">
        <is>
          <t>ALINGSÅS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46316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46316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46316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46316</v>
      </c>
      <c r="F171" t="inlineStr">
        <is>
          <t>VÄSTRA GÖTALANDS LÄN</t>
        </is>
      </c>
      <c r="G171" t="inlineStr">
        <is>
          <t>ALINGSÅS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46316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46316</v>
      </c>
      <c r="F173" t="inlineStr">
        <is>
          <t>VÄSTRA GÖTALANDS LÄN</t>
        </is>
      </c>
      <c r="G173" t="inlineStr">
        <is>
          <t>ALINGSÅS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46316</v>
      </c>
      <c r="F174" t="inlineStr">
        <is>
          <t>VÄSTRA GÖTALANDS LÄN</t>
        </is>
      </c>
      <c r="G174" t="inlineStr">
        <is>
          <t>ALINGSÅS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46316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18360-2026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46126</v>
      </c>
      <c r="E176" s="1" t="n">
        <v>46316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Kommuner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56116-2025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45973</v>
      </c>
      <c r="E177" s="1" t="n">
        <v>46316</v>
      </c>
      <c r="F177" t="inlineStr">
        <is>
          <t>VÄSTRA GÖTALANDS LÄN</t>
        </is>
      </c>
      <c r="G177" t="inlineStr">
        <is>
          <t>ALINGSÅS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46316</v>
      </c>
      <c r="F178" t="inlineStr">
        <is>
          <t>VÄSTRA GÖTALANDS LÄN</t>
        </is>
      </c>
      <c r="G178" t="inlineStr">
        <is>
          <t>ALINGSÅS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46127</v>
      </c>
      <c r="E179" s="1" t="n">
        <v>46316</v>
      </c>
      <c r="F179" t="inlineStr">
        <is>
          <t>VÄSTRA GÖTALANDS LÄN</t>
        </is>
      </c>
      <c r="G179" t="inlineStr">
        <is>
          <t>ALINGSÅS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46131</v>
      </c>
      <c r="E180" s="1" t="n">
        <v>46316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46316</v>
      </c>
      <c r="F181" t="inlineStr">
        <is>
          <t>VÄSTRA GÖTALANDS LÄN</t>
        </is>
      </c>
      <c r="G181" t="inlineStr">
        <is>
          <t>ALINGSÅS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46316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46316</v>
      </c>
      <c r="F183" t="inlineStr">
        <is>
          <t>VÄSTRA GÖTALANDS LÄN</t>
        </is>
      </c>
      <c r="G183" t="inlineStr">
        <is>
          <t>ALINGSÅS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46316</v>
      </c>
      <c r="F184" t="inlineStr">
        <is>
          <t>VÄSTRA GÖTALANDS LÄN</t>
        </is>
      </c>
      <c r="G184" t="inlineStr">
        <is>
          <t>ALINGSÅS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45785</v>
      </c>
      <c r="E185" s="1" t="n">
        <v>46316</v>
      </c>
      <c r="F185" t="inlineStr">
        <is>
          <t>VÄSTRA GÖTALANDS LÄN</t>
        </is>
      </c>
      <c r="G185" t="inlineStr">
        <is>
          <t>ALINGSÅS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46316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46316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44979</v>
      </c>
      <c r="E188" s="1" t="n">
        <v>46316</v>
      </c>
      <c r="F188" t="inlineStr">
        <is>
          <t>VÄSTRA GÖTALANDS LÄN</t>
        </is>
      </c>
      <c r="G188" t="inlineStr">
        <is>
          <t>ALINGSÅS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19553-2024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45429</v>
      </c>
      <c r="E189" s="1" t="n">
        <v>46316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46316</v>
      </c>
      <c r="F190" t="inlineStr">
        <is>
          <t>VÄSTRA GÖTALANDS LÄN</t>
        </is>
      </c>
      <c r="G190" t="inlineStr">
        <is>
          <t>ALINGSÅS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45850</v>
      </c>
      <c r="E191" s="1" t="n">
        <v>46316</v>
      </c>
      <c r="F191" t="inlineStr">
        <is>
          <t>VÄSTRA GÖTALANDS LÄN</t>
        </is>
      </c>
      <c r="G191" t="inlineStr">
        <is>
          <t>ALINGSÅS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46316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45850</v>
      </c>
      <c r="E193" s="1" t="n">
        <v>46316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45996</v>
      </c>
      <c r="E194" s="1" t="n">
        <v>46316</v>
      </c>
      <c r="F194" t="inlineStr">
        <is>
          <t>VÄSTRA GÖTALANDS LÄN</t>
        </is>
      </c>
      <c r="G194" t="inlineStr">
        <is>
          <t>ALINGSÅS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46316</v>
      </c>
      <c r="F195" t="inlineStr">
        <is>
          <t>VÄSTRA GÖTALANDS LÄN</t>
        </is>
      </c>
      <c r="G195" t="inlineStr">
        <is>
          <t>ALINGSÅS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46316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46316</v>
      </c>
      <c r="F197" t="inlineStr">
        <is>
          <t>VÄSTRA GÖTALANDS LÄN</t>
        </is>
      </c>
      <c r="G197" t="inlineStr">
        <is>
          <t>ALINGSÅS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45465</v>
      </c>
      <c r="E198" s="1" t="n">
        <v>46316</v>
      </c>
      <c r="F198" t="inlineStr">
        <is>
          <t>VÄSTRA GÖTALANDS LÄN</t>
        </is>
      </c>
      <c r="G198" t="inlineStr">
        <is>
          <t>ALINGSÅS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46316</v>
      </c>
      <c r="F199" t="inlineStr">
        <is>
          <t>VÄSTRA GÖTALANDS LÄN</t>
        </is>
      </c>
      <c r="G199" t="inlineStr">
        <is>
          <t>ALINGSÅS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46316</v>
      </c>
      <c r="F200" t="inlineStr">
        <is>
          <t>VÄSTRA GÖTALANDS LÄN</t>
        </is>
      </c>
      <c r="G200" t="inlineStr">
        <is>
          <t>ALINGSÅS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46316</v>
      </c>
      <c r="F201" t="inlineStr">
        <is>
          <t>VÄSTRA GÖTALANDS LÄN</t>
        </is>
      </c>
      <c r="G201" t="inlineStr">
        <is>
          <t>ALINGSÅS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46316</v>
      </c>
      <c r="F202" t="inlineStr">
        <is>
          <t>VÄSTRA GÖTALANDS LÄN</t>
        </is>
      </c>
      <c r="G202" t="inlineStr">
        <is>
          <t>ALINGSÅS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44103-2025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46316</v>
      </c>
      <c r="F203" t="inlineStr">
        <is>
          <t>VÄSTRA GÖTALANDS LÄN</t>
        </is>
      </c>
      <c r="G203" t="inlineStr">
        <is>
          <t>ALINGSÅS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46316</v>
      </c>
      <c r="F204" t="inlineStr">
        <is>
          <t>VÄSTRA GÖTALANDS LÄN</t>
        </is>
      </c>
      <c r="G204" t="inlineStr">
        <is>
          <t>ALINGSÅS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45772</v>
      </c>
      <c r="E205" s="1" t="n">
        <v>46316</v>
      </c>
      <c r="F205" t="inlineStr">
        <is>
          <t>VÄSTRA GÖTALANDS LÄN</t>
        </is>
      </c>
      <c r="G205" t="inlineStr">
        <is>
          <t>ALINGSÅS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45681</v>
      </c>
      <c r="E206" s="1" t="n">
        <v>46316</v>
      </c>
      <c r="F206" t="inlineStr">
        <is>
          <t>VÄSTRA GÖTALANDS LÄN</t>
        </is>
      </c>
      <c r="G206" t="inlineStr">
        <is>
          <t>ALINGSÅS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45133</v>
      </c>
      <c r="E207" s="1" t="n">
        <v>46316</v>
      </c>
      <c r="F207" t="inlineStr">
        <is>
          <t>VÄSTRA GÖTALANDS LÄN</t>
        </is>
      </c>
      <c r="G207" t="inlineStr">
        <is>
          <t>ALINGSÅS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46316</v>
      </c>
      <c r="F208" t="inlineStr">
        <is>
          <t>VÄSTRA GÖTALANDS LÄN</t>
        </is>
      </c>
      <c r="G208" t="inlineStr">
        <is>
          <t>ALINGSÅS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46316</v>
      </c>
      <c r="F209" t="inlineStr">
        <is>
          <t>VÄSTRA GÖTALANDS LÄN</t>
        </is>
      </c>
      <c r="G209" t="inlineStr">
        <is>
          <t>ALINGSÅS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46316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46316</v>
      </c>
      <c r="F211" t="inlineStr">
        <is>
          <t>VÄSTRA GÖTALANDS LÄN</t>
        </is>
      </c>
      <c r="G211" t="inlineStr">
        <is>
          <t>ALINGSÅS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46316</v>
      </c>
      <c r="F212" t="inlineStr">
        <is>
          <t>VÄSTRA GÖTALANDS LÄN</t>
        </is>
      </c>
      <c r="G212" t="inlineStr">
        <is>
          <t>ALINGSÅS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46316</v>
      </c>
      <c r="F213" t="inlineStr">
        <is>
          <t>VÄSTRA GÖTALANDS LÄN</t>
        </is>
      </c>
      <c r="G213" t="inlineStr">
        <is>
          <t>ALINGSÅS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44964</v>
      </c>
      <c r="E214" s="1" t="n">
        <v>46316</v>
      </c>
      <c r="F214" t="inlineStr">
        <is>
          <t>VÄSTRA GÖTALANDS LÄN</t>
        </is>
      </c>
      <c r="G214" t="inlineStr">
        <is>
          <t>ALINGSÅS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45257</v>
      </c>
      <c r="E215" s="1" t="n">
        <v>46316</v>
      </c>
      <c r="F215" t="inlineStr">
        <is>
          <t>VÄSTRA GÖTALANDS LÄN</t>
        </is>
      </c>
      <c r="G215" t="inlineStr">
        <is>
          <t>ALINGSÅS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44615</v>
      </c>
      <c r="E216" s="1" t="n">
        <v>46316</v>
      </c>
      <c r="F216" t="inlineStr">
        <is>
          <t>VÄSTRA GÖTALANDS LÄN</t>
        </is>
      </c>
      <c r="G216" t="inlineStr">
        <is>
          <t>ALINGSÅS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44832</v>
      </c>
      <c r="E217" s="1" t="n">
        <v>46316</v>
      </c>
      <c r="F217" t="inlineStr">
        <is>
          <t>VÄSTRA GÖTALANDS LÄN</t>
        </is>
      </c>
      <c r="G217" t="inlineStr">
        <is>
          <t>ALINGSÅS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46316</v>
      </c>
      <c r="F218" t="inlineStr">
        <is>
          <t>VÄSTRA GÖTALANDS LÄN</t>
        </is>
      </c>
      <c r="G218" t="inlineStr">
        <is>
          <t>ALINGSÅS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46316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45427</v>
      </c>
      <c r="E220" s="1" t="n">
        <v>46316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46316</v>
      </c>
      <c r="F221" t="inlineStr">
        <is>
          <t>VÄSTRA GÖTALANDS LÄN</t>
        </is>
      </c>
      <c r="G221" t="inlineStr">
        <is>
          <t>ALINGSÅS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45412</v>
      </c>
      <c r="E222" s="1" t="n">
        <v>46316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45310</v>
      </c>
      <c r="E223" s="1" t="n">
        <v>46316</v>
      </c>
      <c r="F223" t="inlineStr">
        <is>
          <t>VÄSTRA GÖTALANDS LÄN</t>
        </is>
      </c>
      <c r="G223" t="inlineStr">
        <is>
          <t>ALINGSÅS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44821</v>
      </c>
      <c r="E224" s="1" t="n">
        <v>46316</v>
      </c>
      <c r="F224" t="inlineStr">
        <is>
          <t>VÄSTRA GÖTALANDS LÄN</t>
        </is>
      </c>
      <c r="G224" t="inlineStr">
        <is>
          <t>ALINGSÅS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46316</v>
      </c>
      <c r="F225" t="inlineStr">
        <is>
          <t>VÄSTRA GÖTALANDS LÄN</t>
        </is>
      </c>
      <c r="G225" t="inlineStr">
        <is>
          <t>ALINGSÅS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46316</v>
      </c>
      <c r="F226" t="inlineStr">
        <is>
          <t>VÄSTRA GÖTALANDS LÄN</t>
        </is>
      </c>
      <c r="G226" t="inlineStr">
        <is>
          <t>ALINGSÅS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46316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46316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46316</v>
      </c>
      <c r="F229" t="inlineStr">
        <is>
          <t>VÄSTRA GÖTALANDS LÄN</t>
        </is>
      </c>
      <c r="G229" t="inlineStr">
        <is>
          <t>ALINGSÅS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45380</v>
      </c>
      <c r="E230" s="1" t="n">
        <v>46316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46316</v>
      </c>
      <c r="F231" t="inlineStr">
        <is>
          <t>VÄSTRA GÖTALANDS LÄN</t>
        </is>
      </c>
      <c r="G231" t="inlineStr">
        <is>
          <t>ALINGSÅS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46316</v>
      </c>
      <c r="F232" t="inlineStr">
        <is>
          <t>VÄSTRA GÖTALANDS LÄN</t>
        </is>
      </c>
      <c r="G232" t="inlineStr">
        <is>
          <t>ALINGSÅS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46316</v>
      </c>
      <c r="F233" t="inlineStr">
        <is>
          <t>VÄSTRA GÖTALANDS LÄN</t>
        </is>
      </c>
      <c r="G233" t="inlineStr">
        <is>
          <t>ALINGSÅS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46316</v>
      </c>
      <c r="F234" t="inlineStr">
        <is>
          <t>VÄSTRA GÖTALANDS LÄN</t>
        </is>
      </c>
      <c r="G234" t="inlineStr">
        <is>
          <t>ALINGSÅS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46316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46316</v>
      </c>
      <c r="F236" t="inlineStr">
        <is>
          <t>VÄSTRA GÖTALANDS LÄN</t>
        </is>
      </c>
      <c r="G236" t="inlineStr">
        <is>
          <t>ALINGSÅS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44727</v>
      </c>
      <c r="E237" s="1" t="n">
        <v>46316</v>
      </c>
      <c r="F237" t="inlineStr">
        <is>
          <t>VÄSTRA GÖTALANDS LÄN</t>
        </is>
      </c>
      <c r="G237" t="inlineStr">
        <is>
          <t>ALINGSÅS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46316</v>
      </c>
      <c r="F238" t="inlineStr">
        <is>
          <t>VÄSTRA GÖTALANDS LÄN</t>
        </is>
      </c>
      <c r="G238" t="inlineStr">
        <is>
          <t>ALINGSÅS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44721</v>
      </c>
      <c r="E239" s="1" t="n">
        <v>46316</v>
      </c>
      <c r="F239" t="inlineStr">
        <is>
          <t>VÄSTRA GÖTALANDS LÄN</t>
        </is>
      </c>
      <c r="G239" t="inlineStr">
        <is>
          <t>ALINGSÅS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46316</v>
      </c>
      <c r="F240" t="inlineStr">
        <is>
          <t>VÄSTRA GÖTALANDS LÄN</t>
        </is>
      </c>
      <c r="G240" t="inlineStr">
        <is>
          <t>ALINGSÅS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46185</v>
      </c>
      <c r="E241" s="1" t="n">
        <v>46316</v>
      </c>
      <c r="F241" t="inlineStr">
        <is>
          <t>VÄSTRA GÖTALANDS LÄN</t>
        </is>
      </c>
      <c r="G241" t="inlineStr">
        <is>
          <t>ALINGSÅS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46316</v>
      </c>
      <c r="F242" t="inlineStr">
        <is>
          <t>VÄSTRA GÖTALANDS LÄN</t>
        </is>
      </c>
      <c r="G242" t="inlineStr">
        <is>
          <t>ALINGSÅS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46316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46316</v>
      </c>
      <c r="F244" t="inlineStr">
        <is>
          <t>VÄSTRA GÖTALANDS LÄN</t>
        </is>
      </c>
      <c r="G244" t="inlineStr">
        <is>
          <t>ALINGSÅS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46316</v>
      </c>
      <c r="F245" t="inlineStr">
        <is>
          <t>VÄSTRA GÖTALANDS LÄN</t>
        </is>
      </c>
      <c r="G245" t="inlineStr">
        <is>
          <t>ALINGSÅS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46316</v>
      </c>
      <c r="F246" t="inlineStr">
        <is>
          <t>VÄSTRA GÖTALANDS LÄN</t>
        </is>
      </c>
      <c r="G246" t="inlineStr">
        <is>
          <t>ALINGSÅS</t>
        </is>
      </c>
      <c r="I246" t="n">
        <v>21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46316</v>
      </c>
      <c r="F247" t="inlineStr">
        <is>
          <t>VÄSTRA GÖTALANDS LÄN</t>
        </is>
      </c>
      <c r="G247" t="inlineStr">
        <is>
          <t>ALINGSÅS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44831</v>
      </c>
      <c r="E248" s="1" t="n">
        <v>46316</v>
      </c>
      <c r="F248" t="inlineStr">
        <is>
          <t>VÄSTRA GÖTALANDS LÄN</t>
        </is>
      </c>
      <c r="G248" t="inlineStr">
        <is>
          <t>ALINGSÅS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44708</v>
      </c>
      <c r="E249" s="1" t="n">
        <v>46316</v>
      </c>
      <c r="F249" t="inlineStr">
        <is>
          <t>VÄSTRA GÖTALANDS LÄN</t>
        </is>
      </c>
      <c r="G249" t="inlineStr">
        <is>
          <t>ALINGSÅS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46316</v>
      </c>
      <c r="F250" t="inlineStr">
        <is>
          <t>VÄSTRA GÖTALANDS LÄN</t>
        </is>
      </c>
      <c r="G250" t="inlineStr">
        <is>
          <t>ALINGSÅS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44957</v>
      </c>
      <c r="E251" s="1" t="n">
        <v>46316</v>
      </c>
      <c r="F251" t="inlineStr">
        <is>
          <t>VÄSTRA GÖTALANDS LÄN</t>
        </is>
      </c>
      <c r="G251" t="inlineStr">
        <is>
          <t>ALINGSÅS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46316</v>
      </c>
      <c r="F252" t="inlineStr">
        <is>
          <t>VÄSTRA GÖTALANDS LÄN</t>
        </is>
      </c>
      <c r="G252" t="inlineStr">
        <is>
          <t>ALINGSÅS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45021</v>
      </c>
      <c r="E253" s="1" t="n">
        <v>46316</v>
      </c>
      <c r="F253" t="inlineStr">
        <is>
          <t>VÄSTRA GÖTALANDS LÄN</t>
        </is>
      </c>
      <c r="G253" t="inlineStr">
        <is>
          <t>ALINGSÅS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46316</v>
      </c>
      <c r="F254" t="inlineStr">
        <is>
          <t>VÄSTRA GÖTALANDS LÄN</t>
        </is>
      </c>
      <c r="G254" t="inlineStr">
        <is>
          <t>ALINGSÅS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44852</v>
      </c>
      <c r="E255" s="1" t="n">
        <v>46316</v>
      </c>
      <c r="F255" t="inlineStr">
        <is>
          <t>VÄSTRA GÖTALANDS LÄN</t>
        </is>
      </c>
      <c r="G255" t="inlineStr">
        <is>
          <t>ALINGSÅS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46316</v>
      </c>
      <c r="F256" t="inlineStr">
        <is>
          <t>VÄSTRA GÖTALANDS LÄN</t>
        </is>
      </c>
      <c r="G256" t="inlineStr">
        <is>
          <t>ALINGSÅS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46316</v>
      </c>
      <c r="F257" t="inlineStr">
        <is>
          <t>VÄSTRA GÖTALANDS LÄN</t>
        </is>
      </c>
      <c r="G257" t="inlineStr">
        <is>
          <t>ALINGSÅS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45391</v>
      </c>
      <c r="E258" s="1" t="n">
        <v>46316</v>
      </c>
      <c r="F258" t="inlineStr">
        <is>
          <t>VÄSTRA GÖTALANDS LÄN</t>
        </is>
      </c>
      <c r="G258" t="inlineStr">
        <is>
          <t>ALINGSÅS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46232</v>
      </c>
      <c r="E259" s="1" t="n">
        <v>46316</v>
      </c>
      <c r="F259" t="inlineStr">
        <is>
          <t>VÄSTRA GÖTALANDS LÄN</t>
        </is>
      </c>
      <c r="G259" t="inlineStr">
        <is>
          <t>ALINGSÅS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45152</v>
      </c>
      <c r="E260" s="1" t="n">
        <v>46316</v>
      </c>
      <c r="F260" t="inlineStr">
        <is>
          <t>VÄSTRA GÖTALANDS LÄN</t>
        </is>
      </c>
      <c r="G260" t="inlineStr">
        <is>
          <t>ALINGSÅS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46316</v>
      </c>
      <c r="F261" t="inlineStr">
        <is>
          <t>VÄSTRA GÖTALANDS LÄN</t>
        </is>
      </c>
      <c r="G261" t="inlineStr">
        <is>
          <t>ALINGSÅS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46316</v>
      </c>
      <c r="F262" t="inlineStr">
        <is>
          <t>VÄSTRA GÖTALANDS LÄN</t>
        </is>
      </c>
      <c r="G262" t="inlineStr">
        <is>
          <t>ALINGSÅS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46316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46316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46316</v>
      </c>
      <c r="F265" t="inlineStr">
        <is>
          <t>VÄSTRA GÖTALANDS LÄN</t>
        </is>
      </c>
      <c r="G265" t="inlineStr">
        <is>
          <t>ALINGSÅS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46316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46316</v>
      </c>
      <c r="F267" t="inlineStr">
        <is>
          <t>VÄSTRA GÖTALANDS LÄN</t>
        </is>
      </c>
      <c r="G267" t="inlineStr">
        <is>
          <t>ALINGSÅS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46316</v>
      </c>
      <c r="F268" t="inlineStr">
        <is>
          <t>VÄSTRA GÖTALANDS LÄN</t>
        </is>
      </c>
      <c r="G268" t="inlineStr">
        <is>
          <t>ALINGSÅS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47960-2022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46316</v>
      </c>
      <c r="F269" t="inlineStr">
        <is>
          <t>VÄSTRA GÖTALANDS LÄN</t>
        </is>
      </c>
      <c r="G269" t="inlineStr">
        <is>
          <t>ALINGSÅS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46316</v>
      </c>
      <c r="F270" t="inlineStr">
        <is>
          <t>VÄSTRA GÖTALANDS LÄN</t>
        </is>
      </c>
      <c r="G270" t="inlineStr">
        <is>
          <t>ALINGSÅS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46316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46316</v>
      </c>
      <c r="F272" t="inlineStr">
        <is>
          <t>VÄSTRA GÖTALANDS LÄN</t>
        </is>
      </c>
      <c r="G272" t="inlineStr">
        <is>
          <t>ALINGSÅS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46290</v>
      </c>
      <c r="E273" s="1" t="n">
        <v>46316</v>
      </c>
      <c r="F273" t="inlineStr">
        <is>
          <t>VÄSTRA GÖTALANDS LÄN</t>
        </is>
      </c>
      <c r="G273" t="inlineStr">
        <is>
          <t>ALINGSÅS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39612-2026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46289</v>
      </c>
      <c r="E274" s="1" t="n">
        <v>46316</v>
      </c>
      <c r="F274" t="inlineStr">
        <is>
          <t>VÄSTRA GÖTALANDS LÄN</t>
        </is>
      </c>
      <c r="G274" t="inlineStr">
        <is>
          <t>ALINGSÅS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45349</v>
      </c>
      <c r="E275" s="1" t="n">
        <v>46316</v>
      </c>
      <c r="F275" t="inlineStr">
        <is>
          <t>VÄSTRA GÖTALANDS LÄN</t>
        </is>
      </c>
      <c r="G275" t="inlineStr">
        <is>
          <t>ALINGSÅS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45091</v>
      </c>
      <c r="E276" s="1" t="n">
        <v>46316</v>
      </c>
      <c r="F276" t="inlineStr">
        <is>
          <t>VÄSTRA GÖTALANDS LÄN</t>
        </is>
      </c>
      <c r="G276" t="inlineStr">
        <is>
          <t>ALINGSÅS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38508-2024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45546</v>
      </c>
      <c r="E277" s="1" t="n">
        <v>46316</v>
      </c>
      <c r="F277" t="inlineStr">
        <is>
          <t>VÄSTRA GÖTALANDS LÄN</t>
        </is>
      </c>
      <c r="G277" t="inlineStr">
        <is>
          <t>ALINGSÅS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46294</v>
      </c>
      <c r="E278" s="1" t="n">
        <v>46316</v>
      </c>
      <c r="F278" t="inlineStr">
        <is>
          <t>VÄSTRA GÖTALANDS LÄN</t>
        </is>
      </c>
      <c r="G278" t="inlineStr">
        <is>
          <t>ALINGSÅS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45576</v>
      </c>
      <c r="E279" s="1" t="n">
        <v>46316</v>
      </c>
      <c r="F279" t="inlineStr">
        <is>
          <t>VÄSTRA GÖTALANDS LÄN</t>
        </is>
      </c>
      <c r="G279" t="inlineStr">
        <is>
          <t>ALINGSÅS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46316</v>
      </c>
      <c r="F280" t="inlineStr">
        <is>
          <t>VÄSTRA GÖTALANDS LÄN</t>
        </is>
      </c>
      <c r="G280" t="inlineStr">
        <is>
          <t>ALINGSÅS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46316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45011</v>
      </c>
      <c r="E282" s="1" t="n">
        <v>46316</v>
      </c>
      <c r="F282" t="inlineStr">
        <is>
          <t>VÄSTRA GÖTALANDS LÄN</t>
        </is>
      </c>
      <c r="G282" t="inlineStr">
        <is>
          <t>ALINGSÅS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46316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46316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44637</v>
      </c>
      <c r="E285" s="1" t="n">
        <v>46316</v>
      </c>
      <c r="F285" t="inlineStr">
        <is>
          <t>VÄSTRA GÖTALANDS LÄN</t>
        </is>
      </c>
      <c r="G285" t="inlineStr">
        <is>
          <t>ALINGSÅS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46296</v>
      </c>
      <c r="E286" s="1" t="n">
        <v>46316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46316</v>
      </c>
      <c r="F287" t="inlineStr">
        <is>
          <t>VÄSTRA GÖTALANDS LÄN</t>
        </is>
      </c>
      <c r="G287" t="inlineStr">
        <is>
          <t>ALINGSÅS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46300</v>
      </c>
      <c r="E288" s="1" t="n">
        <v>46316</v>
      </c>
      <c r="F288" t="inlineStr">
        <is>
          <t>VÄSTRA GÖTALANDS LÄN</t>
        </is>
      </c>
      <c r="G288" t="inlineStr">
        <is>
          <t>ALINGSÅS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46316</v>
      </c>
      <c r="F289" t="inlineStr">
        <is>
          <t>VÄSTRA GÖTALANDS LÄN</t>
        </is>
      </c>
      <c r="G289" t="inlineStr">
        <is>
          <t>ALINGSÅS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46299</v>
      </c>
      <c r="E290" s="1" t="n">
        <v>46316</v>
      </c>
      <c r="F290" t="inlineStr">
        <is>
          <t>VÄSTRA GÖTALANDS LÄN</t>
        </is>
      </c>
      <c r="G290" t="inlineStr">
        <is>
          <t>ALINGSÅS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46255</v>
      </c>
      <c r="E291" s="1" t="n">
        <v>46316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45156</v>
      </c>
      <c r="E292" s="1" t="n">
        <v>46316</v>
      </c>
      <c r="F292" t="inlineStr">
        <is>
          <t>VÄSTRA GÖTALANDS LÄN</t>
        </is>
      </c>
      <c r="G292" t="inlineStr">
        <is>
          <t>ALINGSÅS</t>
        </is>
      </c>
      <c r="H292" t="inlineStr">
        <is>
          <t>Kyrkan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46316</v>
      </c>
      <c r="F293" t="inlineStr">
        <is>
          <t>VÄSTRA GÖTALANDS LÄN</t>
        </is>
      </c>
      <c r="G293" t="inlineStr">
        <is>
          <t>ALINGSÅS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46302</v>
      </c>
      <c r="E294" s="1" t="n">
        <v>46316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46316</v>
      </c>
      <c r="F295" t="inlineStr">
        <is>
          <t>VÄSTRA GÖTALANDS LÄN</t>
        </is>
      </c>
      <c r="G295" t="inlineStr">
        <is>
          <t>ALINGSÅS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44949</v>
      </c>
      <c r="E296" s="1" t="n">
        <v>46316</v>
      </c>
      <c r="F296" t="inlineStr">
        <is>
          <t>VÄSTRA GÖTALANDS LÄN</t>
        </is>
      </c>
      <c r="G296" t="inlineStr">
        <is>
          <t>ALINGSÅS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41634-2026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46302</v>
      </c>
      <c r="E297" s="1" t="n">
        <v>46316</v>
      </c>
      <c r="F297" t="inlineStr">
        <is>
          <t>VÄSTRA GÖTALANDS LÄN</t>
        </is>
      </c>
      <c r="G297" t="inlineStr">
        <is>
          <t>ALINGSÅS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46316</v>
      </c>
      <c r="F298" t="inlineStr">
        <is>
          <t>VÄSTRA GÖTALANDS LÄN</t>
        </is>
      </c>
      <c r="G298" t="inlineStr">
        <is>
          <t>ALINGSÅS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46316</v>
      </c>
      <c r="F299" t="inlineStr">
        <is>
          <t>VÄSTRA GÖTALANDS LÄN</t>
        </is>
      </c>
      <c r="G299" t="inlineStr">
        <is>
          <t>ALINGSÅS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46316</v>
      </c>
      <c r="F300" t="inlineStr">
        <is>
          <t>VÄSTRA GÖTALANDS LÄN</t>
        </is>
      </c>
      <c r="G300" t="inlineStr">
        <is>
          <t>ALINGSÅS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46307</v>
      </c>
      <c r="E301" s="1" t="n">
        <v>46316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46316</v>
      </c>
      <c r="F302" t="inlineStr">
        <is>
          <t>VÄSTRA GÖTALANDS LÄN</t>
        </is>
      </c>
      <c r="G302" t="inlineStr">
        <is>
          <t>ALINGSÅS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45258</v>
      </c>
      <c r="E303" s="1" t="n">
        <v>46316</v>
      </c>
      <c r="F303" t="inlineStr">
        <is>
          <t>VÄSTRA GÖTALANDS LÄN</t>
        </is>
      </c>
      <c r="G303" t="inlineStr">
        <is>
          <t>ALINGSÅS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46316</v>
      </c>
      <c r="F304" t="inlineStr">
        <is>
          <t>VÄSTRA GÖTALANDS LÄN</t>
        </is>
      </c>
      <c r="G304" t="inlineStr">
        <is>
          <t>ALINGSÅS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46262</v>
      </c>
      <c r="E305" s="1" t="n">
        <v>46316</v>
      </c>
      <c r="F305" t="inlineStr">
        <is>
          <t>VÄSTRA GÖTALANDS LÄN</t>
        </is>
      </c>
      <c r="G305" t="inlineStr">
        <is>
          <t>ALINGSÅS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44816</v>
      </c>
      <c r="E306" s="1" t="n">
        <v>46316</v>
      </c>
      <c r="F306" t="inlineStr">
        <is>
          <t>VÄSTRA GÖTALANDS LÄN</t>
        </is>
      </c>
      <c r="G306" t="inlineStr">
        <is>
          <t>ALINGSÅS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36000-2026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46266</v>
      </c>
      <c r="E307" s="1" t="n">
        <v>46316</v>
      </c>
      <c r="F307" t="inlineStr">
        <is>
          <t>VÄSTRA GÖTALANDS LÄN</t>
        </is>
      </c>
      <c r="G307" t="inlineStr">
        <is>
          <t>ALINGSÅS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46316</v>
      </c>
      <c r="F308" t="inlineStr">
        <is>
          <t>VÄSTRA GÖTALANDS LÄN</t>
        </is>
      </c>
      <c r="G308" t="inlineStr">
        <is>
          <t>ALINGSÅS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46314</v>
      </c>
      <c r="E309" s="1" t="n">
        <v>46316</v>
      </c>
      <c r="F309" t="inlineStr">
        <is>
          <t>VÄSTRA GÖTALANDS LÄN</t>
        </is>
      </c>
      <c r="G309" t="inlineStr">
        <is>
          <t>ALINGSÅS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46314</v>
      </c>
      <c r="E310" s="1" t="n">
        <v>46316</v>
      </c>
      <c r="F310" t="inlineStr">
        <is>
          <t>VÄSTRA GÖTALANDS LÄN</t>
        </is>
      </c>
      <c r="G310" t="inlineStr">
        <is>
          <t>ALINGSÅS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46316</v>
      </c>
      <c r="F311" t="inlineStr">
        <is>
          <t>VÄSTRA GÖTALANDS LÄN</t>
        </is>
      </c>
      <c r="G311" t="inlineStr">
        <is>
          <t>ALINGSÅS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45465</v>
      </c>
      <c r="E312" s="1" t="n">
        <v>46316</v>
      </c>
      <c r="F312" t="inlineStr">
        <is>
          <t>VÄSTRA GÖTALANDS LÄN</t>
        </is>
      </c>
      <c r="G312" t="inlineStr">
        <is>
          <t>ALINGSÅS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19562-2024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45429</v>
      </c>
      <c r="E313" s="1" t="n">
        <v>46316</v>
      </c>
      <c r="F313" t="inlineStr">
        <is>
          <t>VÄSTRA GÖTALANDS LÄN</t>
        </is>
      </c>
      <c r="G313" t="inlineStr">
        <is>
          <t>ALINGSÅS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45177</v>
      </c>
      <c r="E314" s="1" t="n">
        <v>46316</v>
      </c>
      <c r="F314" t="inlineStr">
        <is>
          <t>VÄSTRA GÖTALANDS LÄN</t>
        </is>
      </c>
      <c r="G314" t="inlineStr">
        <is>
          <t>ALINGSÅS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45594</v>
      </c>
      <c r="E315" s="1" t="n">
        <v>46316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45721</v>
      </c>
      <c r="E316" s="1" t="n">
        <v>46316</v>
      </c>
      <c r="F316" t="inlineStr">
        <is>
          <t>VÄSTRA GÖTALANDS LÄN</t>
        </is>
      </c>
      <c r="G316" t="inlineStr">
        <is>
          <t>ALINGSÅS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33491-2024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45519</v>
      </c>
      <c r="E317" s="1" t="n">
        <v>46316</v>
      </c>
      <c r="F317" t="inlineStr">
        <is>
          <t>VÄSTRA GÖTALANDS LÄN</t>
        </is>
      </c>
      <c r="G317" t="inlineStr">
        <is>
          <t>ALINGSÅS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46316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46316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46316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46316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46316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46316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46316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46316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46316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46316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2026-10-21T02:05:48Z</dcterms:created>
  <dcterms:modified xmlns:dcterms="http://purl.org/dc/terms/" xmlns:xsi="http://www.w3.org/2001/XMLSchema-instance" xsi:type="dcterms:W3CDTF">2026-10-21T02:05:49Z</dcterms:modified>
</cp:coreProperties>
</file>