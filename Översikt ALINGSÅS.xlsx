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45789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45789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45789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45789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45789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45789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45789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45789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45789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45789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45789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45789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45789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45789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45789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45789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45789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45789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45789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45789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45789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45789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45789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45789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45789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45789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45789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45789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45789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45789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45789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19620-2025</t>
        </is>
      </c>
      <c r="B33" s="1" t="n">
        <v>45770</v>
      </c>
      <c r="C33" s="1" t="n">
        <v>45789</v>
      </c>
      <c r="D33" t="inlineStr">
        <is>
          <t>VÄSTRA GÖTALANDS LÄN</t>
        </is>
      </c>
      <c r="E33" t="inlineStr">
        <is>
          <t>ALINGSÅS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HYPERLINK("https://klasma.github.io/Logging_141489/artfynd/A 19620-2025 artfynd.xlsx", "A 19620-2025")</f>
        <v/>
      </c>
      <c r="T33">
        <f>HYPERLINK("https://klasma.github.io/Logging_141489/kartor/A 19620-2025 karta.png", "A 19620-2025")</f>
        <v/>
      </c>
      <c r="V33">
        <f>HYPERLINK("https://klasma.github.io/Logging_141489/klagomål/A 19620-2025 FSC-klagomål.docx", "A 19620-2025")</f>
        <v/>
      </c>
      <c r="W33">
        <f>HYPERLINK("https://klasma.github.io/Logging_141489/klagomålsmail/A 19620-2025 FSC-klagomål mail.docx", "A 19620-2025")</f>
        <v/>
      </c>
      <c r="X33">
        <f>HYPERLINK("https://klasma.github.io/Logging_141489/tillsyn/A 19620-2025 tillsynsbegäran.docx", "A 19620-2025")</f>
        <v/>
      </c>
      <c r="Y33">
        <f>HYPERLINK("https://klasma.github.io/Logging_141489/tillsynsmail/A 19620-2025 tillsynsbegäran mail.docx", "A 19620-2025")</f>
        <v/>
      </c>
    </row>
    <row r="34" ht="15" customHeight="1">
      <c r="A34" t="inlineStr">
        <is>
          <t>A 17734-2019</t>
        </is>
      </c>
      <c r="B34" s="1" t="n">
        <v>43556</v>
      </c>
      <c r="C34" s="1" t="n">
        <v>45789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18080-2019</t>
        </is>
      </c>
      <c r="B35" s="1" t="n">
        <v>43558</v>
      </c>
      <c r="C35" s="1" t="n">
        <v>45789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19460-2019</t>
        </is>
      </c>
      <c r="B36" s="1" t="n">
        <v>43565</v>
      </c>
      <c r="C36" s="1" t="n">
        <v>45789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20231-2019</t>
        </is>
      </c>
      <c r="B37" s="1" t="n">
        <v>43571</v>
      </c>
      <c r="C37" s="1" t="n">
        <v>45789</v>
      </c>
      <c r="D37" t="inlineStr">
        <is>
          <t>VÄSTRA GÖTALANDS LÄN</t>
        </is>
      </c>
      <c r="E37" t="inlineStr">
        <is>
          <t>ALINGSÅS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20977-2019</t>
        </is>
      </c>
      <c r="B38" s="1" t="n">
        <v>43578</v>
      </c>
      <c r="C38" s="1" t="n">
        <v>45789</v>
      </c>
      <c r="D38" t="inlineStr">
        <is>
          <t>VÄSTRA GÖTALANDS LÄN</t>
        </is>
      </c>
      <c r="E38" t="inlineStr">
        <is>
          <t>ALINGSÅS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21902-2019</t>
        </is>
      </c>
      <c r="B39" s="1" t="n">
        <v>43584</v>
      </c>
      <c r="C39" s="1" t="n">
        <v>45789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22930-2019</t>
        </is>
      </c>
      <c r="B40" s="1" t="n">
        <v>43591</v>
      </c>
      <c r="C40" s="1" t="n">
        <v>45789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23223-2019</t>
        </is>
      </c>
      <c r="B41" s="1" t="n">
        <v>43592</v>
      </c>
      <c r="C41" s="1" t="n">
        <v>45789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23220-2019</t>
        </is>
      </c>
      <c r="B42" s="1" t="n">
        <v>43592</v>
      </c>
      <c r="C42" s="1" t="n">
        <v>45789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24205-2019</t>
        </is>
      </c>
      <c r="B43" s="1" t="n">
        <v>43599</v>
      </c>
      <c r="C43" s="1" t="n">
        <v>45789</v>
      </c>
      <c r="D43" t="inlineStr">
        <is>
          <t>VÄSTRA GÖTALANDS LÄN</t>
        </is>
      </c>
      <c r="E43" t="inlineStr">
        <is>
          <t>ALINGSÅS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25649-2019</t>
        </is>
      </c>
      <c r="B44" s="1" t="n">
        <v>43602</v>
      </c>
      <c r="C44" s="1" t="n">
        <v>45789</v>
      </c>
      <c r="D44" t="inlineStr">
        <is>
          <t>VÄSTRA GÖTALANDS LÄN</t>
        </is>
      </c>
      <c r="E44" t="inlineStr">
        <is>
          <t>ALINGSÅS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25646-2019</t>
        </is>
      </c>
      <c r="B45" s="1" t="n">
        <v>43602</v>
      </c>
      <c r="C45" s="1" t="n">
        <v>45789</v>
      </c>
      <c r="D45" t="inlineStr">
        <is>
          <t>VÄSTRA GÖTALANDS LÄN</t>
        </is>
      </c>
      <c r="E45" t="inlineStr">
        <is>
          <t>ALINGSÅS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25728-2019</t>
        </is>
      </c>
      <c r="B46" s="1" t="n">
        <v>43608</v>
      </c>
      <c r="C46" s="1" t="n">
        <v>45789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26386-2019</t>
        </is>
      </c>
      <c r="B47" s="1" t="n">
        <v>43612</v>
      </c>
      <c r="C47" s="1" t="n">
        <v>45789</v>
      </c>
      <c r="D47" t="inlineStr">
        <is>
          <t>VÄSTRA GÖTALANDS LÄN</t>
        </is>
      </c>
      <c r="E47" t="inlineStr">
        <is>
          <t>ALINGSÅS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26387-2019</t>
        </is>
      </c>
      <c r="B48" s="1" t="n">
        <v>43612</v>
      </c>
      <c r="C48" s="1" t="n">
        <v>45789</v>
      </c>
      <c r="D48" t="inlineStr">
        <is>
          <t>VÄSTRA GÖTALANDS LÄN</t>
        </is>
      </c>
      <c r="E48" t="inlineStr">
        <is>
          <t>ALINGSÅS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27943-2019</t>
        </is>
      </c>
      <c r="B49" s="1" t="n">
        <v>43620</v>
      </c>
      <c r="C49" s="1" t="n">
        <v>45789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29040-2019</t>
        </is>
      </c>
      <c r="B50" s="1" t="n">
        <v>43628</v>
      </c>
      <c r="C50" s="1" t="n">
        <v>45789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30231-2019</t>
        </is>
      </c>
      <c r="B51" s="1" t="n">
        <v>43630</v>
      </c>
      <c r="C51" s="1" t="n">
        <v>45789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30454-2019</t>
        </is>
      </c>
      <c r="B52" s="1" t="n">
        <v>43633</v>
      </c>
      <c r="C52" s="1" t="n">
        <v>45789</v>
      </c>
      <c r="D52" t="inlineStr">
        <is>
          <t>VÄSTRA GÖTALANDS LÄN</t>
        </is>
      </c>
      <c r="E52" t="inlineStr">
        <is>
          <t>ALINGSÅS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30516-2019</t>
        </is>
      </c>
      <c r="B53" s="1" t="n">
        <v>43635</v>
      </c>
      <c r="C53" s="1" t="n">
        <v>45789</v>
      </c>
      <c r="D53" t="inlineStr">
        <is>
          <t>VÄSTRA GÖTALANDS LÄN</t>
        </is>
      </c>
      <c r="E53" t="inlineStr">
        <is>
          <t>ALINGSÅS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30908-2019</t>
        </is>
      </c>
      <c r="B54" s="1" t="n">
        <v>43636</v>
      </c>
      <c r="C54" s="1" t="n">
        <v>45789</v>
      </c>
      <c r="D54" t="inlineStr">
        <is>
          <t>VÄSTRA GÖTALANDS LÄN</t>
        </is>
      </c>
      <c r="E54" t="inlineStr">
        <is>
          <t>ALINGSÅS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32951-2019</t>
        </is>
      </c>
      <c r="B55" s="1" t="n">
        <v>43648</v>
      </c>
      <c r="C55" s="1" t="n">
        <v>45789</v>
      </c>
      <c r="D55" t="inlineStr">
        <is>
          <t>VÄSTRA GÖTALANDS LÄN</t>
        </is>
      </c>
      <c r="E55" t="inlineStr">
        <is>
          <t>ALINGSÅS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32947-2019</t>
        </is>
      </c>
      <c r="B56" s="1" t="n">
        <v>43648</v>
      </c>
      <c r="C56" s="1" t="n">
        <v>45789</v>
      </c>
      <c r="D56" t="inlineStr">
        <is>
          <t>VÄSTRA GÖTALANDS LÄN</t>
        </is>
      </c>
      <c r="E56" t="inlineStr">
        <is>
          <t>ALINGSÅS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33366-2019</t>
        </is>
      </c>
      <c r="B57" s="1" t="n">
        <v>43650</v>
      </c>
      <c r="C57" s="1" t="n">
        <v>45789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33885-2019</t>
        </is>
      </c>
      <c r="B58" s="1" t="n">
        <v>43653</v>
      </c>
      <c r="C58" s="1" t="n">
        <v>45789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34662-2019</t>
        </is>
      </c>
      <c r="B59" s="1" t="n">
        <v>43657</v>
      </c>
      <c r="C59" s="1" t="n">
        <v>45789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34941-2019</t>
        </is>
      </c>
      <c r="B60" s="1" t="n">
        <v>43658</v>
      </c>
      <c r="C60" s="1" t="n">
        <v>45789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35951-2019</t>
        </is>
      </c>
      <c r="B61" s="1" t="n">
        <v>43665</v>
      </c>
      <c r="C61" s="1" t="n">
        <v>45789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37361-2019</t>
        </is>
      </c>
      <c r="B62" s="1" t="n">
        <v>43678</v>
      </c>
      <c r="C62" s="1" t="n">
        <v>45789</v>
      </c>
      <c r="D62" t="inlineStr">
        <is>
          <t>VÄSTRA GÖTALANDS LÄN</t>
        </is>
      </c>
      <c r="E62" t="inlineStr">
        <is>
          <t>ALINGSÅS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38192-2019</t>
        </is>
      </c>
      <c r="B63" s="1" t="n">
        <v>43684</v>
      </c>
      <c r="C63" s="1" t="n">
        <v>45789</v>
      </c>
      <c r="D63" t="inlineStr">
        <is>
          <t>VÄSTRA GÖTALANDS LÄN</t>
        </is>
      </c>
      <c r="E63" t="inlineStr">
        <is>
          <t>ALINGSÅS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38195-2019</t>
        </is>
      </c>
      <c r="B64" s="1" t="n">
        <v>43684</v>
      </c>
      <c r="C64" s="1" t="n">
        <v>45789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38730-2019</t>
        </is>
      </c>
      <c r="B65" s="1" t="n">
        <v>43686</v>
      </c>
      <c r="C65" s="1" t="n">
        <v>45789</v>
      </c>
      <c r="D65" t="inlineStr">
        <is>
          <t>VÄSTRA GÖTALANDS LÄN</t>
        </is>
      </c>
      <c r="E65" t="inlineStr">
        <is>
          <t>ALINGSÅS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40388-2019</t>
        </is>
      </c>
      <c r="B66" s="1" t="n">
        <v>43696</v>
      </c>
      <c r="C66" s="1" t="n">
        <v>45789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41113-2019</t>
        </is>
      </c>
      <c r="B67" s="1" t="n">
        <v>43698</v>
      </c>
      <c r="C67" s="1" t="n">
        <v>45789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41723-2019</t>
        </is>
      </c>
      <c r="B68" s="1" t="n">
        <v>43699</v>
      </c>
      <c r="C68" s="1" t="n">
        <v>45789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44389-2019</t>
        </is>
      </c>
      <c r="B69" s="1" t="n">
        <v>43711</v>
      </c>
      <c r="C69" s="1" t="n">
        <v>45789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46561-2019</t>
        </is>
      </c>
      <c r="B70" s="1" t="n">
        <v>43719</v>
      </c>
      <c r="C70" s="1" t="n">
        <v>45789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48319-2019</t>
        </is>
      </c>
      <c r="B71" s="1" t="n">
        <v>43726</v>
      </c>
      <c r="C71" s="1" t="n">
        <v>45789</v>
      </c>
      <c r="D71" t="inlineStr">
        <is>
          <t>VÄSTRA GÖTALANDS LÄN</t>
        </is>
      </c>
      <c r="E71" t="inlineStr">
        <is>
          <t>ALINGSÅS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48322-2019</t>
        </is>
      </c>
      <c r="B72" s="1" t="n">
        <v>43726</v>
      </c>
      <c r="C72" s="1" t="n">
        <v>45789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49787-2019</t>
        </is>
      </c>
      <c r="B73" s="1" t="n">
        <v>43733</v>
      </c>
      <c r="C73" s="1" t="n">
        <v>45789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50210-2019</t>
        </is>
      </c>
      <c r="B74" s="1" t="n">
        <v>43734</v>
      </c>
      <c r="C74" s="1" t="n">
        <v>45789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50236-2019</t>
        </is>
      </c>
      <c r="B75" s="1" t="n">
        <v>43734</v>
      </c>
      <c r="C75" s="1" t="n">
        <v>45789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50363-2019</t>
        </is>
      </c>
      <c r="B76" s="1" t="n">
        <v>43735</v>
      </c>
      <c r="C76" s="1" t="n">
        <v>45789</v>
      </c>
      <c r="D76" t="inlineStr">
        <is>
          <t>VÄSTRA GÖTALANDS LÄN</t>
        </is>
      </c>
      <c r="E76" t="inlineStr">
        <is>
          <t>ALINGSÅS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50832-2019</t>
        </is>
      </c>
      <c r="B77" s="1" t="n">
        <v>43738</v>
      </c>
      <c r="C77" s="1" t="n">
        <v>45789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52060-2019</t>
        </is>
      </c>
      <c r="B78" s="1" t="n">
        <v>43742</v>
      </c>
      <c r="C78" s="1" t="n">
        <v>45789</v>
      </c>
      <c r="D78" t="inlineStr">
        <is>
          <t>VÄSTRA GÖTALANDS LÄN</t>
        </is>
      </c>
      <c r="E78" t="inlineStr">
        <is>
          <t>ALINGSÅS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56953-2019</t>
        </is>
      </c>
      <c r="B79" s="1" t="n">
        <v>43766</v>
      </c>
      <c r="C79" s="1" t="n">
        <v>45789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58907-2019</t>
        </is>
      </c>
      <c r="B80" s="1" t="n">
        <v>43774</v>
      </c>
      <c r="C80" s="1" t="n">
        <v>45789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61427-2019</t>
        </is>
      </c>
      <c r="B81" s="1" t="n">
        <v>43783</v>
      </c>
      <c r="C81" s="1" t="n">
        <v>45789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61766-2019</t>
        </is>
      </c>
      <c r="B82" s="1" t="n">
        <v>43784</v>
      </c>
      <c r="C82" s="1" t="n">
        <v>45789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61706-2019</t>
        </is>
      </c>
      <c r="B83" s="1" t="n">
        <v>43784</v>
      </c>
      <c r="C83" s="1" t="n">
        <v>45789</v>
      </c>
      <c r="D83" t="inlineStr">
        <is>
          <t>VÄSTRA GÖTALANDS LÄN</t>
        </is>
      </c>
      <c r="E83" t="inlineStr">
        <is>
          <t>ALINGSÅS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62223-2019</t>
        </is>
      </c>
      <c r="B84" s="1" t="n">
        <v>43788</v>
      </c>
      <c r="C84" s="1" t="n">
        <v>45789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62996-2019</t>
        </is>
      </c>
      <c r="B85" s="1" t="n">
        <v>43790</v>
      </c>
      <c r="C85" s="1" t="n">
        <v>45789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63542-2019</t>
        </is>
      </c>
      <c r="B86" s="1" t="n">
        <v>43794</v>
      </c>
      <c r="C86" s="1" t="n">
        <v>45789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63705-2019</t>
        </is>
      </c>
      <c r="B87" s="1" t="n">
        <v>43795</v>
      </c>
      <c r="C87" s="1" t="n">
        <v>45789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65209-2019</t>
        </is>
      </c>
      <c r="B88" s="1" t="n">
        <v>43802</v>
      </c>
      <c r="C88" s="1" t="n">
        <v>45789</v>
      </c>
      <c r="D88" t="inlineStr">
        <is>
          <t>VÄSTRA GÖTALANDS LÄN</t>
        </is>
      </c>
      <c r="E88" t="inlineStr">
        <is>
          <t>ALINGSÅS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67326-2019</t>
        </is>
      </c>
      <c r="B89" s="1" t="n">
        <v>43812</v>
      </c>
      <c r="C89" s="1" t="n">
        <v>45789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67895-2019</t>
        </is>
      </c>
      <c r="B90" s="1" t="n">
        <v>43816</v>
      </c>
      <c r="C90" s="1" t="n">
        <v>45789</v>
      </c>
      <c r="D90" t="inlineStr">
        <is>
          <t>VÄSTRA GÖTALANDS LÄN</t>
        </is>
      </c>
      <c r="E90" t="inlineStr">
        <is>
          <t>ALINGSÅS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68909-2019</t>
        </is>
      </c>
      <c r="B91" s="1" t="n">
        <v>43822</v>
      </c>
      <c r="C91" s="1" t="n">
        <v>45789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355-2020</t>
        </is>
      </c>
      <c r="B92" s="1" t="n">
        <v>43837</v>
      </c>
      <c r="C92" s="1" t="n">
        <v>45789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1044-2020</t>
        </is>
      </c>
      <c r="B93" s="1" t="n">
        <v>43839</v>
      </c>
      <c r="C93" s="1" t="n">
        <v>45789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1521-2020</t>
        </is>
      </c>
      <c r="B94" s="1" t="n">
        <v>43843</v>
      </c>
      <c r="C94" s="1" t="n">
        <v>45789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1835-2020</t>
        </is>
      </c>
      <c r="B95" s="1" t="n">
        <v>43844</v>
      </c>
      <c r="C95" s="1" t="n">
        <v>45789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1949-2020</t>
        </is>
      </c>
      <c r="B96" s="1" t="n">
        <v>43845</v>
      </c>
      <c r="C96" s="1" t="n">
        <v>45789</v>
      </c>
      <c r="D96" t="inlineStr">
        <is>
          <t>VÄSTRA GÖTALANDS LÄN</t>
        </is>
      </c>
      <c r="E96" t="inlineStr">
        <is>
          <t>ALINGSÅS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2257-2020</t>
        </is>
      </c>
      <c r="B97" s="1" t="n">
        <v>43846</v>
      </c>
      <c r="C97" s="1" t="n">
        <v>45789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2632-2020</t>
        </is>
      </c>
      <c r="B98" s="1" t="n">
        <v>43847</v>
      </c>
      <c r="C98" s="1" t="n">
        <v>45789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5847-2020</t>
        </is>
      </c>
      <c r="B99" s="1" t="n">
        <v>43864</v>
      </c>
      <c r="C99" s="1" t="n">
        <v>45789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8292-2020</t>
        </is>
      </c>
      <c r="B100" s="1" t="n">
        <v>43875</v>
      </c>
      <c r="C100" s="1" t="n">
        <v>45789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9133-2020</t>
        </is>
      </c>
      <c r="B101" s="1" t="n">
        <v>43879</v>
      </c>
      <c r="C101" s="1" t="n">
        <v>45789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9126-2020</t>
        </is>
      </c>
      <c r="B102" s="1" t="n">
        <v>43879</v>
      </c>
      <c r="C102" s="1" t="n">
        <v>45789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9854-2020</t>
        </is>
      </c>
      <c r="B103" s="1" t="n">
        <v>43882</v>
      </c>
      <c r="C103" s="1" t="n">
        <v>45789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10520-2020</t>
        </is>
      </c>
      <c r="B104" s="1" t="n">
        <v>43886</v>
      </c>
      <c r="C104" s="1" t="n">
        <v>45789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10113-2020</t>
        </is>
      </c>
      <c r="B105" s="1" t="n">
        <v>43887</v>
      </c>
      <c r="C105" s="1" t="n">
        <v>45789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11309-2020</t>
        </is>
      </c>
      <c r="B106" s="1" t="n">
        <v>43892</v>
      </c>
      <c r="C106" s="1" t="n">
        <v>45789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11306-2020</t>
        </is>
      </c>
      <c r="B107" s="1" t="n">
        <v>43892</v>
      </c>
      <c r="C107" s="1" t="n">
        <v>45789</v>
      </c>
      <c r="D107" t="inlineStr">
        <is>
          <t>VÄSTRA GÖTALANDS LÄN</t>
        </is>
      </c>
      <c r="E107" t="inlineStr">
        <is>
          <t>ALINGSÅS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12183-2020</t>
        </is>
      </c>
      <c r="B108" s="1" t="n">
        <v>43895</v>
      </c>
      <c r="C108" s="1" t="n">
        <v>45789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13024-2020</t>
        </is>
      </c>
      <c r="B109" s="1" t="n">
        <v>43900</v>
      </c>
      <c r="C109" s="1" t="n">
        <v>45789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14346-2020</t>
        </is>
      </c>
      <c r="B110" s="1" t="n">
        <v>43908</v>
      </c>
      <c r="C110" s="1" t="n">
        <v>45789</v>
      </c>
      <c r="D110" t="inlineStr">
        <is>
          <t>VÄSTRA GÖTALANDS LÄN</t>
        </is>
      </c>
      <c r="E110" t="inlineStr">
        <is>
          <t>ALINGSÅS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16150-2020</t>
        </is>
      </c>
      <c r="B111" s="1" t="n">
        <v>43916</v>
      </c>
      <c r="C111" s="1" t="n">
        <v>45789</v>
      </c>
      <c r="D111" t="inlineStr">
        <is>
          <t>VÄSTRA GÖTALANDS LÄN</t>
        </is>
      </c>
      <c r="E111" t="inlineStr">
        <is>
          <t>ALINGSÅS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16151-2020</t>
        </is>
      </c>
      <c r="B112" s="1" t="n">
        <v>43916</v>
      </c>
      <c r="C112" s="1" t="n">
        <v>45789</v>
      </c>
      <c r="D112" t="inlineStr">
        <is>
          <t>VÄSTRA GÖTALANDS LÄN</t>
        </is>
      </c>
      <c r="E112" t="inlineStr">
        <is>
          <t>ALINGSÅS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17497-2020</t>
        </is>
      </c>
      <c r="B113" s="1" t="n">
        <v>43920</v>
      </c>
      <c r="C113" s="1" t="n">
        <v>45789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17321-2020</t>
        </is>
      </c>
      <c r="B114" s="1" t="n">
        <v>43922</v>
      </c>
      <c r="C114" s="1" t="n">
        <v>45789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18042-2020</t>
        </is>
      </c>
      <c r="B115" s="1" t="n">
        <v>43927</v>
      </c>
      <c r="C115" s="1" t="n">
        <v>45789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18317-2020</t>
        </is>
      </c>
      <c r="B116" s="1" t="n">
        <v>43928</v>
      </c>
      <c r="C116" s="1" t="n">
        <v>45789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19008-2020</t>
        </is>
      </c>
      <c r="B117" s="1" t="n">
        <v>43936</v>
      </c>
      <c r="C117" s="1" t="n">
        <v>45789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19441-2020</t>
        </is>
      </c>
      <c r="B118" s="1" t="n">
        <v>43938</v>
      </c>
      <c r="C118" s="1" t="n">
        <v>45789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19534-2020</t>
        </is>
      </c>
      <c r="B119" s="1" t="n">
        <v>43941</v>
      </c>
      <c r="C119" s="1" t="n">
        <v>45789</v>
      </c>
      <c r="D119" t="inlineStr">
        <is>
          <t>VÄSTRA GÖTALANDS LÄN</t>
        </is>
      </c>
      <c r="E119" t="inlineStr">
        <is>
          <t>ALINGSÅS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20101-2020</t>
        </is>
      </c>
      <c r="B120" s="1" t="n">
        <v>43944</v>
      </c>
      <c r="C120" s="1" t="n">
        <v>45789</v>
      </c>
      <c r="D120" t="inlineStr">
        <is>
          <t>VÄSTRA GÖTALANDS LÄN</t>
        </is>
      </c>
      <c r="E120" t="inlineStr">
        <is>
          <t>ALINGSÅS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20980-2020</t>
        </is>
      </c>
      <c r="B121" s="1" t="n">
        <v>43950</v>
      </c>
      <c r="C121" s="1" t="n">
        <v>45789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21914-2020</t>
        </is>
      </c>
      <c r="B122" s="1" t="n">
        <v>43958</v>
      </c>
      <c r="C122" s="1" t="n">
        <v>45789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22564-2020</t>
        </is>
      </c>
      <c r="B123" s="1" t="n">
        <v>43963</v>
      </c>
      <c r="C123" s="1" t="n">
        <v>45789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24673-2020</t>
        </is>
      </c>
      <c r="B124" s="1" t="n">
        <v>43978</v>
      </c>
      <c r="C124" s="1" t="n">
        <v>45789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25882-2020</t>
        </is>
      </c>
      <c r="B125" s="1" t="n">
        <v>43984</v>
      </c>
      <c r="C125" s="1" t="n">
        <v>45789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26035-2020</t>
        </is>
      </c>
      <c r="B126" s="1" t="n">
        <v>43985</v>
      </c>
      <c r="C126" s="1" t="n">
        <v>45789</v>
      </c>
      <c r="D126" t="inlineStr">
        <is>
          <t>VÄSTRA GÖTALANDS LÄN</t>
        </is>
      </c>
      <c r="E126" t="inlineStr">
        <is>
          <t>ALINGSÅS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26349-2020</t>
        </is>
      </c>
      <c r="B127" s="1" t="n">
        <v>43986</v>
      </c>
      <c r="C127" s="1" t="n">
        <v>45789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26277-2020</t>
        </is>
      </c>
      <c r="B128" s="1" t="n">
        <v>43986</v>
      </c>
      <c r="C128" s="1" t="n">
        <v>45789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27481-2020</t>
        </is>
      </c>
      <c r="B129" s="1" t="n">
        <v>43993</v>
      </c>
      <c r="C129" s="1" t="n">
        <v>45789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27969-2020</t>
        </is>
      </c>
      <c r="B130" s="1" t="n">
        <v>43997</v>
      </c>
      <c r="C130" s="1" t="n">
        <v>45789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30311-2020</t>
        </is>
      </c>
      <c r="B131" s="1" t="n">
        <v>44007</v>
      </c>
      <c r="C131" s="1" t="n">
        <v>45789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31460-2020</t>
        </is>
      </c>
      <c r="B132" s="1" t="n">
        <v>44013</v>
      </c>
      <c r="C132" s="1" t="n">
        <v>45789</v>
      </c>
      <c r="D132" t="inlineStr">
        <is>
          <t>VÄSTRA GÖTALANDS LÄN</t>
        </is>
      </c>
      <c r="E132" t="inlineStr">
        <is>
          <t>ALINGSÅS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31466-2020</t>
        </is>
      </c>
      <c r="B133" s="1" t="n">
        <v>44013</v>
      </c>
      <c r="C133" s="1" t="n">
        <v>45789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31478-2020</t>
        </is>
      </c>
      <c r="B134" s="1" t="n">
        <v>44013</v>
      </c>
      <c r="C134" s="1" t="n">
        <v>45789</v>
      </c>
      <c r="D134" t="inlineStr">
        <is>
          <t>VÄSTRA GÖTALANDS LÄN</t>
        </is>
      </c>
      <c r="E134" t="inlineStr">
        <is>
          <t>ALINGSÅS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33521-2020</t>
        </is>
      </c>
      <c r="B135" s="1" t="n">
        <v>44025</v>
      </c>
      <c r="C135" s="1" t="n">
        <v>45789</v>
      </c>
      <c r="D135" t="inlineStr">
        <is>
          <t>VÄSTRA GÖTALANDS LÄN</t>
        </is>
      </c>
      <c r="E135" t="inlineStr">
        <is>
          <t>ALINGSÅS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36761-2020</t>
        </is>
      </c>
      <c r="B136" s="1" t="n">
        <v>44053</v>
      </c>
      <c r="C136" s="1" t="n">
        <v>45789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49287-2020</t>
        </is>
      </c>
      <c r="B137" s="1" t="n">
        <v>44105</v>
      </c>
      <c r="C137" s="1" t="n">
        <v>45789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51531-2020</t>
        </is>
      </c>
      <c r="B138" s="1" t="n">
        <v>44113</v>
      </c>
      <c r="C138" s="1" t="n">
        <v>45789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51540-2020</t>
        </is>
      </c>
      <c r="B139" s="1" t="n">
        <v>44113</v>
      </c>
      <c r="C139" s="1" t="n">
        <v>45789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52173-2020</t>
        </is>
      </c>
      <c r="B140" s="1" t="n">
        <v>44117</v>
      </c>
      <c r="C140" s="1" t="n">
        <v>45789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53226-2020</t>
        </is>
      </c>
      <c r="B141" s="1" t="n">
        <v>44123</v>
      </c>
      <c r="C141" s="1" t="n">
        <v>45789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HYPERLINK("https://klasma.github.io/Logging_1489/knärot/A 53226-2020 karta knärot.png", "A 53226-2020")</f>
        <v/>
      </c>
      <c r="V141">
        <f>HYPERLINK("https://klasma.github.io/Logging_1489/klagomål/A 53226-2020 FSC-klagomål.docx", "A 53226-2020")</f>
        <v/>
      </c>
      <c r="W141">
        <f>HYPERLINK("https://klasma.github.io/Logging_1489/klagomålsmail/A 53226-2020 FSC-klagomål mail.docx", "A 53226-2020")</f>
        <v/>
      </c>
      <c r="X141">
        <f>HYPERLINK("https://klasma.github.io/Logging_1489/tillsyn/A 53226-2020 tillsynsbegäran.docx", "A 53226-2020")</f>
        <v/>
      </c>
      <c r="Y141">
        <f>HYPERLINK("https://klasma.github.io/Logging_1489/tillsynsmail/A 53226-2020 tillsynsbegäran mail.docx", "A 53226-2020")</f>
        <v/>
      </c>
    </row>
    <row r="142" ht="15" customHeight="1">
      <c r="A142" t="inlineStr">
        <is>
          <t>A 55479-2020</t>
        </is>
      </c>
      <c r="B142" s="1" t="n">
        <v>44131</v>
      </c>
      <c r="C142" s="1" t="n">
        <v>45789</v>
      </c>
      <c r="D142" t="inlineStr">
        <is>
          <t>VÄSTRA GÖTALANDS LÄN</t>
        </is>
      </c>
      <c r="E142" t="inlineStr">
        <is>
          <t>ALINGSÅS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55525-2020</t>
        </is>
      </c>
      <c r="B143" s="1" t="n">
        <v>44131</v>
      </c>
      <c r="C143" s="1" t="n">
        <v>45789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57203-2020</t>
        </is>
      </c>
      <c r="B144" s="1" t="n">
        <v>44139</v>
      </c>
      <c r="C144" s="1" t="n">
        <v>45789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59059-2020</t>
        </is>
      </c>
      <c r="B145" s="1" t="n">
        <v>44147</v>
      </c>
      <c r="C145" s="1" t="n">
        <v>45789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63118-2020</t>
        </is>
      </c>
      <c r="B146" s="1" t="n">
        <v>44162</v>
      </c>
      <c r="C146" s="1" t="n">
        <v>45789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63970-2020</t>
        </is>
      </c>
      <c r="B147" s="1" t="n">
        <v>44167</v>
      </c>
      <c r="C147" s="1" t="n">
        <v>45789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64952-2020</t>
        </is>
      </c>
      <c r="B148" s="1" t="n">
        <v>44172</v>
      </c>
      <c r="C148" s="1" t="n">
        <v>45789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67662-2020</t>
        </is>
      </c>
      <c r="B149" s="1" t="n">
        <v>44182</v>
      </c>
      <c r="C149" s="1" t="n">
        <v>45789</v>
      </c>
      <c r="D149" t="inlineStr">
        <is>
          <t>VÄSTRA GÖTALANDS LÄN</t>
        </is>
      </c>
      <c r="E149" t="inlineStr">
        <is>
          <t>ALINGSÅS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211-2021</t>
        </is>
      </c>
      <c r="B150" s="1" t="n">
        <v>44200</v>
      </c>
      <c r="C150" s="1" t="n">
        <v>45789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2400-2021</t>
        </is>
      </c>
      <c r="B151" s="1" t="n">
        <v>44211</v>
      </c>
      <c r="C151" s="1" t="n">
        <v>45789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2455-2021</t>
        </is>
      </c>
      <c r="B152" s="1" t="n">
        <v>44214</v>
      </c>
      <c r="C152" s="1" t="n">
        <v>45789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3451-2021</t>
        </is>
      </c>
      <c r="B153" s="1" t="n">
        <v>44218</v>
      </c>
      <c r="C153" s="1" t="n">
        <v>45789</v>
      </c>
      <c r="D153" t="inlineStr">
        <is>
          <t>VÄSTRA GÖTALANDS LÄN</t>
        </is>
      </c>
      <c r="E153" t="inlineStr">
        <is>
          <t>ALINGSÅS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6391-2021</t>
        </is>
      </c>
      <c r="B154" s="1" t="n">
        <v>44235</v>
      </c>
      <c r="C154" s="1" t="n">
        <v>45789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7652-2021</t>
        </is>
      </c>
      <c r="B155" s="1" t="n">
        <v>44242</v>
      </c>
      <c r="C155" s="1" t="n">
        <v>45789</v>
      </c>
      <c r="D155" t="inlineStr">
        <is>
          <t>VÄSTRA GÖTALANDS LÄN</t>
        </is>
      </c>
      <c r="E155" t="inlineStr">
        <is>
          <t>ALINGSÅS</t>
        </is>
      </c>
      <c r="G155" t="n">
        <v>24.7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45789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45789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45789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45789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45789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45789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45789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45789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45789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45789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45789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45789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45789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45789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45789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45789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45789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45789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45789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45789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45789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45789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45789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45789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45789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45789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45789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45789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45789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45789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45789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45789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45789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45789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45789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45789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45789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45789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45789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45789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45789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45789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45789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45789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45789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45789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45789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45789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45789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45789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45789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45789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45789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45789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45789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45789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45789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45789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45789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45789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45789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45789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45789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45789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45789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45789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45789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45789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45789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45789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45789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45789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45789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45789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45789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45789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45789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45789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45789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45789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45789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45789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45789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45789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45789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45789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45789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45789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45789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45789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45789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45789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45789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45789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45789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45789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45789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45789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45789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45789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45789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45789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45789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45789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45789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45789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45789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45789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45789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45789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45789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45789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45789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45789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45789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45789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45789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45789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45789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45789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45789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45789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45789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45789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45789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45789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45789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45789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45789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45789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45789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45789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45789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45789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45789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45789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45789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45789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45789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45789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45789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45789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45789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45789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45789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45789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45789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45789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45789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45789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45789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45789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45789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45789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45789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45789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45789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45789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45789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45789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45789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45789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45789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45789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45789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45789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45789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45789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45789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45789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45789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45789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45789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45789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45789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45789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45789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45789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45789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45789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45789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45789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45789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45789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45789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45789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45789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45789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45789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45789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45789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45789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45789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45789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45789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45789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45789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45789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45789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45789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45789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45789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45789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45789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45789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45789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45789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45789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45789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45789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45789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45789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45789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45789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45789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45789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45789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45789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45789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45789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45789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45789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45789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45789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45789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45789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45789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45789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45789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45789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45789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45789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45789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45789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45789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45789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45789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45789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45789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45789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45789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45789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45789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45789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45789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45789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45789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45789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45789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45789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45789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45789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45789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45789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45789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45789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45789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45789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45789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45789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45789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45789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45789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45789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45789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45789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45789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45789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45789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45789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45789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45789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45789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45789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45789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45789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45789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45789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45789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45789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45789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45789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45789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45789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45789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45789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45789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45789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45789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45789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45789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45789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45789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45789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45789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45789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45789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45789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45789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45789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45789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45789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45789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45789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45789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45789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45789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45789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45789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45789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45789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45789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45789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45789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45789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45789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45789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45789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45789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45789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45789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45789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45789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45789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45789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45789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45789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45789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45789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45789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45789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45789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45789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45789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45789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45789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45789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45789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45789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45789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45789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45789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45789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45789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45789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45789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45789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45789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45789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45789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45789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45789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45789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45789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45789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45789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45789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45789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45789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45789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45789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45789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45789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45789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45789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45789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45789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45789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45789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45789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45789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45789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45789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45789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45789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45789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45789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45789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45789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45789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45789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45789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45789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45789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45789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45789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45789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45789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45789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45789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45789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45789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45789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45789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45789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45789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45789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45789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45789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45789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45789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45789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45789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45789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45789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45789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45789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45789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22186-2025</t>
        </is>
      </c>
      <c r="B564" s="1" t="n">
        <v>45785</v>
      </c>
      <c r="C564" s="1" t="n">
        <v>45789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2025-05-12T17:31:00Z</dcterms:created>
  <dcterms:modified xmlns:dcterms="http://purl.org/dc/terms/" xmlns:xsi="http://www.w3.org/2001/XMLSchema-instance" xsi:type="dcterms:W3CDTF">2025-05-12T17:31:09Z</dcterms:modified>
</cp:coreProperties>
</file>