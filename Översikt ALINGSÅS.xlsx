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29057-2021</t>
        </is>
      </c>
      <c r="B2" s="1" t="n">
        <v>44358</v>
      </c>
      <c r="C2" s="1" t="n">
        <v>45292</v>
      </c>
      <c r="D2" t="inlineStr">
        <is>
          <t>VÄSTRA GÖTALANDS LÄN</t>
        </is>
      </c>
      <c r="E2" t="inlineStr">
        <is>
          <t>ALINGSÅS</t>
        </is>
      </c>
      <c r="G2" t="n">
        <v>8.199999999999999</v>
      </c>
      <c r="H2" t="n">
        <v>7</v>
      </c>
      <c r="I2" t="n">
        <v>0</v>
      </c>
      <c r="J2" t="n">
        <v>4</v>
      </c>
      <c r="K2" t="n">
        <v>0</v>
      </c>
      <c r="L2" t="n">
        <v>1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Grönfink
Gulsparv
Nordfladdermus
Svartvit flugsnappare
Sydfladdermus
Dvärgpipistrell
Större brunfladdermus</t>
        </is>
      </c>
      <c r="S2">
        <f>HYPERLINK("https://klasma.github.io/Logging_1489/artfynd/A 29057-2021 artfynd.xlsx", "A 29057-2021")</f>
        <v/>
      </c>
      <c r="T2">
        <f>HYPERLINK("https://klasma.github.io/Logging_1489/kartor/A 29057-2021 karta.png", "A 29057-2021")</f>
        <v/>
      </c>
      <c r="V2">
        <f>HYPERLINK("https://klasma.github.io/Logging_1489/klagomål/A 29057-2021 FSC-klagomål.docx", "A 29057-2021")</f>
        <v/>
      </c>
      <c r="W2">
        <f>HYPERLINK("https://klasma.github.io/Logging_1489/klagomålsmail/A 29057-2021 FSC-klagomål mail.docx", "A 29057-2021")</f>
        <v/>
      </c>
      <c r="X2">
        <f>HYPERLINK("https://klasma.github.io/Logging_1489/tillsyn/A 29057-2021 tillsynsbegäran.docx", "A 29057-2021")</f>
        <v/>
      </c>
      <c r="Y2">
        <f>HYPERLINK("https://klasma.github.io/Logging_1489/tillsynsmail/A 29057-2021 tillsynsbegäran mail.docx", "A 29057-2021")</f>
        <v/>
      </c>
    </row>
    <row r="3" ht="15" customHeight="1">
      <c r="A3" t="inlineStr">
        <is>
          <t>A 56530-2023</t>
        </is>
      </c>
      <c r="B3" s="1" t="n">
        <v>45243</v>
      </c>
      <c r="C3" s="1" t="n">
        <v>45292</v>
      </c>
      <c r="D3" t="inlineStr">
        <is>
          <t>VÄSTRA GÖTALANDS LÄN</t>
        </is>
      </c>
      <c r="E3" t="inlineStr">
        <is>
          <t>ALINGSÅS</t>
        </is>
      </c>
      <c r="G3" t="n">
        <v>2.4</v>
      </c>
      <c r="H3" t="n">
        <v>5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5</v>
      </c>
      <c r="R3" s="2" t="inlineStr">
        <is>
          <t>Entita
Gulsparv
Mindre hackspett
Svartvit flugsnappare
Sävsparv</t>
        </is>
      </c>
      <c r="S3">
        <f>HYPERLINK("https://klasma.github.io/Logging_1489/artfynd/A 56530-2023 artfynd.xlsx", "A 56530-2023")</f>
        <v/>
      </c>
      <c r="T3">
        <f>HYPERLINK("https://klasma.github.io/Logging_1489/kartor/A 56530-2023 karta.png", "A 56530-2023")</f>
        <v/>
      </c>
      <c r="V3">
        <f>HYPERLINK("https://klasma.github.io/Logging_1489/klagomål/A 56530-2023 FSC-klagomål.docx", "A 56530-2023")</f>
        <v/>
      </c>
      <c r="W3">
        <f>HYPERLINK("https://klasma.github.io/Logging_1489/klagomålsmail/A 56530-2023 FSC-klagomål mail.docx", "A 56530-2023")</f>
        <v/>
      </c>
      <c r="X3">
        <f>HYPERLINK("https://klasma.github.io/Logging_1489/tillsyn/A 56530-2023 tillsynsbegäran.docx", "A 56530-2023")</f>
        <v/>
      </c>
      <c r="Y3">
        <f>HYPERLINK("https://klasma.github.io/Logging_1489/tillsynsmail/A 56530-2023 tillsynsbegäran mail.docx", "A 56530-2023")</f>
        <v/>
      </c>
    </row>
    <row r="4" ht="15" customHeight="1">
      <c r="A4" t="inlineStr">
        <is>
          <t>A 47947-2022</t>
        </is>
      </c>
      <c r="B4" s="1" t="n">
        <v>44855</v>
      </c>
      <c r="C4" s="1" t="n">
        <v>45292</v>
      </c>
      <c r="D4" t="inlineStr">
        <is>
          <t>VÄSTRA GÖTALANDS LÄN</t>
        </is>
      </c>
      <c r="E4" t="inlineStr">
        <is>
          <t>ALINGSÅS</t>
        </is>
      </c>
      <c r="G4" t="n">
        <v>4.3</v>
      </c>
      <c r="H4" t="n">
        <v>3</v>
      </c>
      <c r="I4" t="n">
        <v>0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Grönfink
Gulsparv
Svartvit flugsnappare</t>
        </is>
      </c>
      <c r="S4">
        <f>HYPERLINK("https://klasma.github.io/Logging_1489/artfynd/A 47947-2022 artfynd.xlsx", "A 47947-2022")</f>
        <v/>
      </c>
      <c r="T4">
        <f>HYPERLINK("https://klasma.github.io/Logging_1489/kartor/A 47947-2022 karta.png", "A 47947-2022")</f>
        <v/>
      </c>
      <c r="V4">
        <f>HYPERLINK("https://klasma.github.io/Logging_1489/klagomål/A 47947-2022 FSC-klagomål.docx", "A 47947-2022")</f>
        <v/>
      </c>
      <c r="W4">
        <f>HYPERLINK("https://klasma.github.io/Logging_1489/klagomålsmail/A 47947-2022 FSC-klagomål mail.docx", "A 47947-2022")</f>
        <v/>
      </c>
      <c r="X4">
        <f>HYPERLINK("https://klasma.github.io/Logging_1489/tillsyn/A 47947-2022 tillsynsbegäran.docx", "A 47947-2022")</f>
        <v/>
      </c>
      <c r="Y4">
        <f>HYPERLINK("https://klasma.github.io/Logging_1489/tillsynsmail/A 47947-2022 tillsynsbegäran mail.docx", "A 47947-2022")</f>
        <v/>
      </c>
    </row>
    <row r="5" ht="15" customHeight="1">
      <c r="A5" t="inlineStr">
        <is>
          <t>A 50910-2019</t>
        </is>
      </c>
      <c r="B5" s="1" t="n">
        <v>43738</v>
      </c>
      <c r="C5" s="1" t="n">
        <v>45292</v>
      </c>
      <c r="D5" t="inlineStr">
        <is>
          <t>VÄSTRA GÖTALANDS LÄN</t>
        </is>
      </c>
      <c r="E5" t="inlineStr">
        <is>
          <t>ALINGSÅS</t>
        </is>
      </c>
      <c r="G5" t="n">
        <v>4.7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Guldlockmossa
Lönnlav</t>
        </is>
      </c>
      <c r="S5">
        <f>HYPERLINK("https://klasma.github.io/Logging_1489/artfynd/A 50910-2019 artfynd.xlsx", "A 50910-2019")</f>
        <v/>
      </c>
      <c r="T5">
        <f>HYPERLINK("https://klasma.github.io/Logging_1489/kartor/A 50910-2019 karta.png", "A 50910-2019")</f>
        <v/>
      </c>
      <c r="V5">
        <f>HYPERLINK("https://klasma.github.io/Logging_1489/klagomål/A 50910-2019 FSC-klagomål.docx", "A 50910-2019")</f>
        <v/>
      </c>
      <c r="W5">
        <f>HYPERLINK("https://klasma.github.io/Logging_1489/klagomålsmail/A 50910-2019 FSC-klagomål mail.docx", "A 50910-2019")</f>
        <v/>
      </c>
      <c r="X5">
        <f>HYPERLINK("https://klasma.github.io/Logging_1489/tillsyn/A 50910-2019 tillsynsbegäran.docx", "A 50910-2019")</f>
        <v/>
      </c>
      <c r="Y5">
        <f>HYPERLINK("https://klasma.github.io/Logging_1489/tillsynsmail/A 50910-2019 tillsynsbegäran mail.docx", "A 50910-2019")</f>
        <v/>
      </c>
    </row>
    <row r="6" ht="15" customHeight="1">
      <c r="A6" t="inlineStr">
        <is>
          <t>A 58206-2019</t>
        </is>
      </c>
      <c r="B6" s="1" t="n">
        <v>43770</v>
      </c>
      <c r="C6" s="1" t="n">
        <v>45292</v>
      </c>
      <c r="D6" t="inlineStr">
        <is>
          <t>VÄSTRA GÖTALANDS LÄN</t>
        </is>
      </c>
      <c r="E6" t="inlineStr">
        <is>
          <t>ALINGSÅS</t>
        </is>
      </c>
      <c r="G6" t="n">
        <v>1.2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Mindre vattensalamander
Vanlig groda</t>
        </is>
      </c>
      <c r="S6">
        <f>HYPERLINK("https://klasma.github.io/Logging_1489/artfynd/A 58206-2019 artfynd.xlsx", "A 58206-2019")</f>
        <v/>
      </c>
      <c r="T6">
        <f>HYPERLINK("https://klasma.github.io/Logging_1489/kartor/A 58206-2019 karta.png", "A 58206-2019")</f>
        <v/>
      </c>
      <c r="V6">
        <f>HYPERLINK("https://klasma.github.io/Logging_1489/klagomål/A 58206-2019 FSC-klagomål.docx", "A 58206-2019")</f>
        <v/>
      </c>
      <c r="W6">
        <f>HYPERLINK("https://klasma.github.io/Logging_1489/klagomålsmail/A 58206-2019 FSC-klagomål mail.docx", "A 58206-2019")</f>
        <v/>
      </c>
      <c r="X6">
        <f>HYPERLINK("https://klasma.github.io/Logging_1489/tillsyn/A 58206-2019 tillsynsbegäran.docx", "A 58206-2019")</f>
        <v/>
      </c>
      <c r="Y6">
        <f>HYPERLINK("https://klasma.github.io/Logging_1489/tillsynsmail/A 58206-2019 tillsynsbegäran mail.docx", "A 58206-2019")</f>
        <v/>
      </c>
    </row>
    <row r="7" ht="15" customHeight="1">
      <c r="A7" t="inlineStr">
        <is>
          <t>A 36195-2022</t>
        </is>
      </c>
      <c r="B7" s="1" t="n">
        <v>44803</v>
      </c>
      <c r="C7" s="1" t="n">
        <v>45292</v>
      </c>
      <c r="D7" t="inlineStr">
        <is>
          <t>VÄSTRA GÖTALANDS LÄN</t>
        </is>
      </c>
      <c r="E7" t="inlineStr">
        <is>
          <t>ALINGSÅS</t>
        </is>
      </c>
      <c r="G7" t="n">
        <v>1.8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Svartvit taggsvamp
Dropptaggsvamp</t>
        </is>
      </c>
      <c r="S7">
        <f>HYPERLINK("https://klasma.github.io/Logging_1489/artfynd/A 36195-2022 artfynd.xlsx", "A 36195-2022")</f>
        <v/>
      </c>
      <c r="T7">
        <f>HYPERLINK("https://klasma.github.io/Logging_1489/kartor/A 36195-2022 karta.png", "A 36195-2022")</f>
        <v/>
      </c>
      <c r="V7">
        <f>HYPERLINK("https://klasma.github.io/Logging_1489/klagomål/A 36195-2022 FSC-klagomål.docx", "A 36195-2022")</f>
        <v/>
      </c>
      <c r="W7">
        <f>HYPERLINK("https://klasma.github.io/Logging_1489/klagomålsmail/A 36195-2022 FSC-klagomål mail.docx", "A 36195-2022")</f>
        <v/>
      </c>
      <c r="X7">
        <f>HYPERLINK("https://klasma.github.io/Logging_1489/tillsyn/A 36195-2022 tillsynsbegäran.docx", "A 36195-2022")</f>
        <v/>
      </c>
      <c r="Y7">
        <f>HYPERLINK("https://klasma.github.io/Logging_1489/tillsynsmail/A 36195-2022 tillsynsbegäran mail.docx", "A 36195-2022")</f>
        <v/>
      </c>
    </row>
    <row r="8" ht="15" customHeight="1">
      <c r="A8" t="inlineStr">
        <is>
          <t>A 26240-2020</t>
        </is>
      </c>
      <c r="B8" s="1" t="n">
        <v>43986</v>
      </c>
      <c r="C8" s="1" t="n">
        <v>45292</v>
      </c>
      <c r="D8" t="inlineStr">
        <is>
          <t>VÄSTRA GÖTALANDS LÄN</t>
        </is>
      </c>
      <c r="E8" t="inlineStr">
        <is>
          <t>ALINGSÅS</t>
        </is>
      </c>
      <c r="G8" t="n">
        <v>2.1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Kastanjesopp</t>
        </is>
      </c>
      <c r="S8">
        <f>HYPERLINK("https://klasma.github.io/Logging_1489/artfynd/A 26240-2020 artfynd.xlsx", "A 26240-2020")</f>
        <v/>
      </c>
      <c r="T8">
        <f>HYPERLINK("https://klasma.github.io/Logging_1489/kartor/A 26240-2020 karta.png", "A 26240-2020")</f>
        <v/>
      </c>
      <c r="V8">
        <f>HYPERLINK("https://klasma.github.io/Logging_1489/klagomål/A 26240-2020 FSC-klagomål.docx", "A 26240-2020")</f>
        <v/>
      </c>
      <c r="W8">
        <f>HYPERLINK("https://klasma.github.io/Logging_1489/klagomålsmail/A 26240-2020 FSC-klagomål mail.docx", "A 26240-2020")</f>
        <v/>
      </c>
      <c r="X8">
        <f>HYPERLINK("https://klasma.github.io/Logging_1489/tillsyn/A 26240-2020 tillsynsbegäran.docx", "A 26240-2020")</f>
        <v/>
      </c>
      <c r="Y8">
        <f>HYPERLINK("https://klasma.github.io/Logging_1489/tillsynsmail/A 26240-2020 tillsynsbegäran mail.docx", "A 26240-2020")</f>
        <v/>
      </c>
    </row>
    <row r="9" ht="15" customHeight="1">
      <c r="A9" t="inlineStr">
        <is>
          <t>A 8209-2021</t>
        </is>
      </c>
      <c r="B9" s="1" t="n">
        <v>44244</v>
      </c>
      <c r="C9" s="1" t="n">
        <v>45292</v>
      </c>
      <c r="D9" t="inlineStr">
        <is>
          <t>VÄSTRA GÖTALANDS LÄN</t>
        </is>
      </c>
      <c r="E9" t="inlineStr">
        <is>
          <t>ALINGSÅS</t>
        </is>
      </c>
      <c r="G9" t="n">
        <v>3.1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Björktrast</t>
        </is>
      </c>
      <c r="S9">
        <f>HYPERLINK("https://klasma.github.io/Logging_1489/artfynd/A 8209-2021 artfynd.xlsx", "A 8209-2021")</f>
        <v/>
      </c>
      <c r="T9">
        <f>HYPERLINK("https://klasma.github.io/Logging_1489/kartor/A 8209-2021 karta.png", "A 8209-2021")</f>
        <v/>
      </c>
      <c r="V9">
        <f>HYPERLINK("https://klasma.github.io/Logging_1489/klagomål/A 8209-2021 FSC-klagomål.docx", "A 8209-2021")</f>
        <v/>
      </c>
      <c r="W9">
        <f>HYPERLINK("https://klasma.github.io/Logging_1489/klagomålsmail/A 8209-2021 FSC-klagomål mail.docx", "A 8209-2021")</f>
        <v/>
      </c>
      <c r="X9">
        <f>HYPERLINK("https://klasma.github.io/Logging_1489/tillsyn/A 8209-2021 tillsynsbegäran.docx", "A 8209-2021")</f>
        <v/>
      </c>
      <c r="Y9">
        <f>HYPERLINK("https://klasma.github.io/Logging_1489/tillsynsmail/A 8209-2021 tillsynsbegäran mail.docx", "A 8209-2021")</f>
        <v/>
      </c>
    </row>
    <row r="10" ht="15" customHeight="1">
      <c r="A10" t="inlineStr">
        <is>
          <t>A 46768-2022</t>
        </is>
      </c>
      <c r="B10" s="1" t="n">
        <v>44848</v>
      </c>
      <c r="C10" s="1" t="n">
        <v>45292</v>
      </c>
      <c r="D10" t="inlineStr">
        <is>
          <t>VÄSTRA GÖTALANDS LÄN</t>
        </is>
      </c>
      <c r="E10" t="inlineStr">
        <is>
          <t>ALINGSÅS</t>
        </is>
      </c>
      <c r="G10" t="n">
        <v>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Flodkräfta</t>
        </is>
      </c>
      <c r="S10">
        <f>HYPERLINK("https://klasma.github.io/Logging_1489/artfynd/A 46768-2022 artfynd.xlsx", "A 46768-2022")</f>
        <v/>
      </c>
      <c r="T10">
        <f>HYPERLINK("https://klasma.github.io/Logging_1489/kartor/A 46768-2022 karta.png", "A 46768-2022")</f>
        <v/>
      </c>
      <c r="V10">
        <f>HYPERLINK("https://klasma.github.io/Logging_1489/klagomål/A 46768-2022 FSC-klagomål.docx", "A 46768-2022")</f>
        <v/>
      </c>
      <c r="W10">
        <f>HYPERLINK("https://klasma.github.io/Logging_1489/klagomålsmail/A 46768-2022 FSC-klagomål mail.docx", "A 46768-2022")</f>
        <v/>
      </c>
      <c r="X10">
        <f>HYPERLINK("https://klasma.github.io/Logging_1489/tillsyn/A 46768-2022 tillsynsbegäran.docx", "A 46768-2022")</f>
        <v/>
      </c>
      <c r="Y10">
        <f>HYPERLINK("https://klasma.github.io/Logging_1489/tillsynsmail/A 46768-2022 tillsynsbegäran mail.docx", "A 46768-2022")</f>
        <v/>
      </c>
    </row>
    <row r="11" ht="15" customHeight="1">
      <c r="A11" t="inlineStr">
        <is>
          <t>A 26384-2023</t>
        </is>
      </c>
      <c r="B11" s="1" t="n">
        <v>45092</v>
      </c>
      <c r="C11" s="1" t="n">
        <v>45292</v>
      </c>
      <c r="D11" t="inlineStr">
        <is>
          <t>VÄSTRA GÖTALANDS LÄN</t>
        </is>
      </c>
      <c r="E11" t="inlineStr">
        <is>
          <t>ALINGSÅS</t>
        </is>
      </c>
      <c r="G11" t="n">
        <v>4.3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Grönsångare</t>
        </is>
      </c>
      <c r="S11">
        <f>HYPERLINK("https://klasma.github.io/Logging_1489/artfynd/A 26384-2023 artfynd.xlsx", "A 26384-2023")</f>
        <v/>
      </c>
      <c r="T11">
        <f>HYPERLINK("https://klasma.github.io/Logging_1489/kartor/A 26384-2023 karta.png", "A 26384-2023")</f>
        <v/>
      </c>
      <c r="V11">
        <f>HYPERLINK("https://klasma.github.io/Logging_1489/klagomål/A 26384-2023 FSC-klagomål.docx", "A 26384-2023")</f>
        <v/>
      </c>
      <c r="W11">
        <f>HYPERLINK("https://klasma.github.io/Logging_1489/klagomålsmail/A 26384-2023 FSC-klagomål mail.docx", "A 26384-2023")</f>
        <v/>
      </c>
      <c r="X11">
        <f>HYPERLINK("https://klasma.github.io/Logging_1489/tillsyn/A 26384-2023 tillsynsbegäran.docx", "A 26384-2023")</f>
        <v/>
      </c>
      <c r="Y11">
        <f>HYPERLINK("https://klasma.github.io/Logging_1489/tillsynsmail/A 26384-2023 tillsynsbegäran mail.docx", "A 26384-2023")</f>
        <v/>
      </c>
    </row>
    <row r="12" ht="15" customHeight="1">
      <c r="A12" t="inlineStr">
        <is>
          <t>A 56053-2023</t>
        </is>
      </c>
      <c r="B12" s="1" t="n">
        <v>45240</v>
      </c>
      <c r="C12" s="1" t="n">
        <v>45292</v>
      </c>
      <c r="D12" t="inlineStr">
        <is>
          <t>VÄSTRA GÖTALANDS LÄN</t>
        </is>
      </c>
      <c r="E12" t="inlineStr">
        <is>
          <t>ALINGSÅS</t>
        </is>
      </c>
      <c r="G12" t="n">
        <v>3.2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Orange taggsvamp</t>
        </is>
      </c>
      <c r="S12">
        <f>HYPERLINK("https://klasma.github.io/Logging_1489/artfynd/A 56053-2023 artfynd.xlsx", "A 56053-2023")</f>
        <v/>
      </c>
      <c r="T12">
        <f>HYPERLINK("https://klasma.github.io/Logging_1489/kartor/A 56053-2023 karta.png", "A 56053-2023")</f>
        <v/>
      </c>
      <c r="V12">
        <f>HYPERLINK("https://klasma.github.io/Logging_1489/klagomål/A 56053-2023 FSC-klagomål.docx", "A 56053-2023")</f>
        <v/>
      </c>
      <c r="W12">
        <f>HYPERLINK("https://klasma.github.io/Logging_1489/klagomålsmail/A 56053-2023 FSC-klagomål mail.docx", "A 56053-2023")</f>
        <v/>
      </c>
      <c r="X12">
        <f>HYPERLINK("https://klasma.github.io/Logging_1489/tillsyn/A 56053-2023 tillsynsbegäran.docx", "A 56053-2023")</f>
        <v/>
      </c>
      <c r="Y12">
        <f>HYPERLINK("https://klasma.github.io/Logging_1489/tillsynsmail/A 56053-2023 tillsynsbegäran mail.docx", "A 56053-2023")</f>
        <v/>
      </c>
    </row>
    <row r="13" ht="15" customHeight="1">
      <c r="A13" t="inlineStr">
        <is>
          <t>A 63479-2023</t>
        </is>
      </c>
      <c r="B13" s="1" t="n">
        <v>45274</v>
      </c>
      <c r="C13" s="1" t="n">
        <v>45292</v>
      </c>
      <c r="D13" t="inlineStr">
        <is>
          <t>VÄSTRA GÖTALANDS LÄN</t>
        </is>
      </c>
      <c r="E13" t="inlineStr">
        <is>
          <t>ALINGSÅS</t>
        </is>
      </c>
      <c r="F13" t="inlineStr">
        <is>
          <t>Kommuner</t>
        </is>
      </c>
      <c r="G13" t="n">
        <v>6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Grönfink</t>
        </is>
      </c>
      <c r="S13">
        <f>HYPERLINK("https://klasma.github.io/Logging_1489/artfynd/A 63479-2023 artfynd.xlsx", "A 63479-2023")</f>
        <v/>
      </c>
      <c r="T13">
        <f>HYPERLINK("https://klasma.github.io/Logging_1489/kartor/A 63479-2023 karta.png", "A 63479-2023")</f>
        <v/>
      </c>
      <c r="V13">
        <f>HYPERLINK("https://klasma.github.io/Logging_1489/klagomål/A 63479-2023 FSC-klagomål.docx", "A 63479-2023")</f>
        <v/>
      </c>
      <c r="W13">
        <f>HYPERLINK("https://klasma.github.io/Logging_1489/klagomålsmail/A 63479-2023 FSC-klagomål mail.docx", "A 63479-2023")</f>
        <v/>
      </c>
      <c r="X13">
        <f>HYPERLINK("https://klasma.github.io/Logging_1489/tillsyn/A 63479-2023 tillsynsbegäran.docx", "A 63479-2023")</f>
        <v/>
      </c>
      <c r="Y13">
        <f>HYPERLINK("https://klasma.github.io/Logging_1489/tillsynsmail/A 63479-2023 tillsynsbegäran mail.docx", "A 63479-2023")</f>
        <v/>
      </c>
    </row>
    <row r="14" ht="15" customHeight="1">
      <c r="A14" t="inlineStr">
        <is>
          <t>A 37609-2018</t>
        </is>
      </c>
      <c r="B14" s="1" t="n">
        <v>43334</v>
      </c>
      <c r="C14" s="1" t="n">
        <v>45292</v>
      </c>
      <c r="D14" t="inlineStr">
        <is>
          <t>VÄSTRA GÖTALANDS LÄN</t>
        </is>
      </c>
      <c r="E14" t="inlineStr">
        <is>
          <t>ALINGSÅS</t>
        </is>
      </c>
      <c r="G14" t="n">
        <v>7.5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39877-2018</t>
        </is>
      </c>
      <c r="B15" s="1" t="n">
        <v>43342</v>
      </c>
      <c r="C15" s="1" t="n">
        <v>45292</v>
      </c>
      <c r="D15" t="inlineStr">
        <is>
          <t>VÄSTRA GÖTALANDS LÄN</t>
        </is>
      </c>
      <c r="E15" t="inlineStr">
        <is>
          <t>ALINGSÅS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41550-2018</t>
        </is>
      </c>
      <c r="B16" s="1" t="n">
        <v>43347</v>
      </c>
      <c r="C16" s="1" t="n">
        <v>45292</v>
      </c>
      <c r="D16" t="inlineStr">
        <is>
          <t>VÄSTRA GÖTALANDS LÄN</t>
        </is>
      </c>
      <c r="E16" t="inlineStr">
        <is>
          <t>ALINGSÅS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52234-2018</t>
        </is>
      </c>
      <c r="B17" s="1" t="n">
        <v>43388</v>
      </c>
      <c r="C17" s="1" t="n">
        <v>45292</v>
      </c>
      <c r="D17" t="inlineStr">
        <is>
          <t>VÄSTRA GÖTALANDS LÄN</t>
        </is>
      </c>
      <c r="E17" t="inlineStr">
        <is>
          <t>ALINGSÅS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54431-2018</t>
        </is>
      </c>
      <c r="B18" s="1" t="n">
        <v>43395</v>
      </c>
      <c r="C18" s="1" t="n">
        <v>45292</v>
      </c>
      <c r="D18" t="inlineStr">
        <is>
          <t>VÄSTRA GÖTALANDS LÄN</t>
        </is>
      </c>
      <c r="E18" t="inlineStr">
        <is>
          <t>ALINGSÅS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58835-2018</t>
        </is>
      </c>
      <c r="B19" s="1" t="n">
        <v>43410</v>
      </c>
      <c r="C19" s="1" t="n">
        <v>45292</v>
      </c>
      <c r="D19" t="inlineStr">
        <is>
          <t>VÄSTRA GÖTALANDS LÄN</t>
        </is>
      </c>
      <c r="E19" t="inlineStr">
        <is>
          <t>ALINGSÅS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60936-2018</t>
        </is>
      </c>
      <c r="B20" s="1" t="n">
        <v>43423</v>
      </c>
      <c r="C20" s="1" t="n">
        <v>45292</v>
      </c>
      <c r="D20" t="inlineStr">
        <is>
          <t>VÄSTRA GÖTALANDS LÄN</t>
        </is>
      </c>
      <c r="E20" t="inlineStr">
        <is>
          <t>ALINGSÅS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64194-2018</t>
        </is>
      </c>
      <c r="B21" s="1" t="n">
        <v>43430</v>
      </c>
      <c r="C21" s="1" t="n">
        <v>45292</v>
      </c>
      <c r="D21" t="inlineStr">
        <is>
          <t>VÄSTRA GÖTALANDS LÄN</t>
        </is>
      </c>
      <c r="E21" t="inlineStr">
        <is>
          <t>ALINGSÅS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64289-2018</t>
        </is>
      </c>
      <c r="B22" s="1" t="n">
        <v>43430</v>
      </c>
      <c r="C22" s="1" t="n">
        <v>45292</v>
      </c>
      <c r="D22" t="inlineStr">
        <is>
          <t>VÄSTRA GÖTALANDS LÄN</t>
        </is>
      </c>
      <c r="E22" t="inlineStr">
        <is>
          <t>ALINGSÅS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64871-2018</t>
        </is>
      </c>
      <c r="B23" s="1" t="n">
        <v>43431</v>
      </c>
      <c r="C23" s="1" t="n">
        <v>45292</v>
      </c>
      <c r="D23" t="inlineStr">
        <is>
          <t>VÄSTRA GÖTALANDS LÄN</t>
        </is>
      </c>
      <c r="E23" t="inlineStr">
        <is>
          <t>ALINGSÅS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67153-2018</t>
        </is>
      </c>
      <c r="B24" s="1" t="n">
        <v>43438</v>
      </c>
      <c r="C24" s="1" t="n">
        <v>45292</v>
      </c>
      <c r="D24" t="inlineStr">
        <is>
          <t>VÄSTRA GÖTALANDS LÄN</t>
        </is>
      </c>
      <c r="E24" t="inlineStr">
        <is>
          <t>ALINGSÅS</t>
        </is>
      </c>
      <c r="G24" t="n">
        <v>5.5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68567-2018</t>
        </is>
      </c>
      <c r="B25" s="1" t="n">
        <v>43444</v>
      </c>
      <c r="C25" s="1" t="n">
        <v>45292</v>
      </c>
      <c r="D25" t="inlineStr">
        <is>
          <t>VÄSTRA GÖTALANDS LÄN</t>
        </is>
      </c>
      <c r="E25" t="inlineStr">
        <is>
          <t>ALINGSÅS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68580-2018</t>
        </is>
      </c>
      <c r="B26" s="1" t="n">
        <v>43444</v>
      </c>
      <c r="C26" s="1" t="n">
        <v>45292</v>
      </c>
      <c r="D26" t="inlineStr">
        <is>
          <t>VÄSTRA GÖTALANDS LÄN</t>
        </is>
      </c>
      <c r="E26" t="inlineStr">
        <is>
          <t>ALINGSÅS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68566-2018</t>
        </is>
      </c>
      <c r="B27" s="1" t="n">
        <v>43444</v>
      </c>
      <c r="C27" s="1" t="n">
        <v>45292</v>
      </c>
      <c r="D27" t="inlineStr">
        <is>
          <t>VÄSTRA GÖTALANDS LÄN</t>
        </is>
      </c>
      <c r="E27" t="inlineStr">
        <is>
          <t>ALINGSÅS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70335-2018</t>
        </is>
      </c>
      <c r="B28" s="1" t="n">
        <v>43446</v>
      </c>
      <c r="C28" s="1" t="n">
        <v>45292</v>
      </c>
      <c r="D28" t="inlineStr">
        <is>
          <t>VÄSTRA GÖTALANDS LÄN</t>
        </is>
      </c>
      <c r="E28" t="inlineStr">
        <is>
          <t>ALINGSÅS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70334-2018</t>
        </is>
      </c>
      <c r="B29" s="1" t="n">
        <v>43446</v>
      </c>
      <c r="C29" s="1" t="n">
        <v>45292</v>
      </c>
      <c r="D29" t="inlineStr">
        <is>
          <t>VÄSTRA GÖTALANDS LÄN</t>
        </is>
      </c>
      <c r="E29" t="inlineStr">
        <is>
          <t>ALINGSÅS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69941-2018</t>
        </is>
      </c>
      <c r="B30" s="1" t="n">
        <v>43447</v>
      </c>
      <c r="C30" s="1" t="n">
        <v>45292</v>
      </c>
      <c r="D30" t="inlineStr">
        <is>
          <t>VÄSTRA GÖTALANDS LÄN</t>
        </is>
      </c>
      <c r="E30" t="inlineStr">
        <is>
          <t>ALINGSÅS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71499-2018</t>
        </is>
      </c>
      <c r="B31" s="1" t="n">
        <v>43453</v>
      </c>
      <c r="C31" s="1" t="n">
        <v>45292</v>
      </c>
      <c r="D31" t="inlineStr">
        <is>
          <t>VÄSTRA GÖTALANDS LÄN</t>
        </is>
      </c>
      <c r="E31" t="inlineStr">
        <is>
          <t>ALINGSÅS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1797-2019</t>
        </is>
      </c>
      <c r="B32" s="1" t="n">
        <v>43462</v>
      </c>
      <c r="C32" s="1" t="n">
        <v>45292</v>
      </c>
      <c r="D32" t="inlineStr">
        <is>
          <t>VÄSTRA GÖTALANDS LÄN</t>
        </is>
      </c>
      <c r="E32" t="inlineStr">
        <is>
          <t>ALINGSÅS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1738-2019</t>
        </is>
      </c>
      <c r="B33" s="1" t="n">
        <v>43462</v>
      </c>
      <c r="C33" s="1" t="n">
        <v>45292</v>
      </c>
      <c r="D33" t="inlineStr">
        <is>
          <t>VÄSTRA GÖTALANDS LÄN</t>
        </is>
      </c>
      <c r="E33" t="inlineStr">
        <is>
          <t>ALINGSÅS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1799-2019</t>
        </is>
      </c>
      <c r="B34" s="1" t="n">
        <v>43462</v>
      </c>
      <c r="C34" s="1" t="n">
        <v>45292</v>
      </c>
      <c r="D34" t="inlineStr">
        <is>
          <t>VÄSTRA GÖTALANDS LÄN</t>
        </is>
      </c>
      <c r="E34" t="inlineStr">
        <is>
          <t>ALINGSÅS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337-2019</t>
        </is>
      </c>
      <c r="B35" s="1" t="n">
        <v>43468</v>
      </c>
      <c r="C35" s="1" t="n">
        <v>45292</v>
      </c>
      <c r="D35" t="inlineStr">
        <is>
          <t>VÄSTRA GÖTALANDS LÄN</t>
        </is>
      </c>
      <c r="E35" t="inlineStr">
        <is>
          <t>ALINGSÅS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3525-2019</t>
        </is>
      </c>
      <c r="B36" s="1" t="n">
        <v>43474</v>
      </c>
      <c r="C36" s="1" t="n">
        <v>45292</v>
      </c>
      <c r="D36" t="inlineStr">
        <is>
          <t>VÄSTRA GÖTALANDS LÄN</t>
        </is>
      </c>
      <c r="E36" t="inlineStr">
        <is>
          <t>ALINGSÅS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7262-2019</t>
        </is>
      </c>
      <c r="B37" s="1" t="n">
        <v>43489</v>
      </c>
      <c r="C37" s="1" t="n">
        <v>45292</v>
      </c>
      <c r="D37" t="inlineStr">
        <is>
          <t>VÄSTRA GÖTALANDS LÄN</t>
        </is>
      </c>
      <c r="E37" t="inlineStr">
        <is>
          <t>ALINGSÅS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5786-2019</t>
        </is>
      </c>
      <c r="B38" s="1" t="n">
        <v>43490</v>
      </c>
      <c r="C38" s="1" t="n">
        <v>45292</v>
      </c>
      <c r="D38" t="inlineStr">
        <is>
          <t>VÄSTRA GÖTALANDS LÄN</t>
        </is>
      </c>
      <c r="E38" t="inlineStr">
        <is>
          <t>ALINGSÅS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6630-2019</t>
        </is>
      </c>
      <c r="B39" s="1" t="n">
        <v>43494</v>
      </c>
      <c r="C39" s="1" t="n">
        <v>45292</v>
      </c>
      <c r="D39" t="inlineStr">
        <is>
          <t>VÄSTRA GÖTALANDS LÄN</t>
        </is>
      </c>
      <c r="E39" t="inlineStr">
        <is>
          <t>ALINGSÅS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6632-2019</t>
        </is>
      </c>
      <c r="B40" s="1" t="n">
        <v>43494</v>
      </c>
      <c r="C40" s="1" t="n">
        <v>45292</v>
      </c>
      <c r="D40" t="inlineStr">
        <is>
          <t>VÄSTRA GÖTALANDS LÄN</t>
        </is>
      </c>
      <c r="E40" t="inlineStr">
        <is>
          <t>ALINGSÅS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6461-2019</t>
        </is>
      </c>
      <c r="B41" s="1" t="n">
        <v>43494</v>
      </c>
      <c r="C41" s="1" t="n">
        <v>45292</v>
      </c>
      <c r="D41" t="inlineStr">
        <is>
          <t>VÄSTRA GÖTALANDS LÄN</t>
        </is>
      </c>
      <c r="E41" t="inlineStr">
        <is>
          <t>ALINGSÅS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6963-2019</t>
        </is>
      </c>
      <c r="B42" s="1" t="n">
        <v>43495</v>
      </c>
      <c r="C42" s="1" t="n">
        <v>45292</v>
      </c>
      <c r="D42" t="inlineStr">
        <is>
          <t>VÄSTRA GÖTALANDS LÄN</t>
        </is>
      </c>
      <c r="E42" t="inlineStr">
        <is>
          <t>ALINGSÅS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6964-2019</t>
        </is>
      </c>
      <c r="B43" s="1" t="n">
        <v>43495</v>
      </c>
      <c r="C43" s="1" t="n">
        <v>45292</v>
      </c>
      <c r="D43" t="inlineStr">
        <is>
          <t>VÄSTRA GÖTALANDS LÄN</t>
        </is>
      </c>
      <c r="E43" t="inlineStr">
        <is>
          <t>ALINGSÅS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11598-2019</t>
        </is>
      </c>
      <c r="B44" s="1" t="n">
        <v>43518</v>
      </c>
      <c r="C44" s="1" t="n">
        <v>45292</v>
      </c>
      <c r="D44" t="inlineStr">
        <is>
          <t>VÄSTRA GÖTALANDS LÄN</t>
        </is>
      </c>
      <c r="E44" t="inlineStr">
        <is>
          <t>ALINGSÅS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16817-2019</t>
        </is>
      </c>
      <c r="B45" s="1" t="n">
        <v>43549</v>
      </c>
      <c r="C45" s="1" t="n">
        <v>45292</v>
      </c>
      <c r="D45" t="inlineStr">
        <is>
          <t>VÄSTRA GÖTALANDS LÄN</t>
        </is>
      </c>
      <c r="E45" t="inlineStr">
        <is>
          <t>ALINGSÅS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17734-2019</t>
        </is>
      </c>
      <c r="B46" s="1" t="n">
        <v>43556</v>
      </c>
      <c r="C46" s="1" t="n">
        <v>45292</v>
      </c>
      <c r="D46" t="inlineStr">
        <is>
          <t>VÄSTRA GÖTALANDS LÄN</t>
        </is>
      </c>
      <c r="E46" t="inlineStr">
        <is>
          <t>ALINGSÅS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18080-2019</t>
        </is>
      </c>
      <c r="B47" s="1" t="n">
        <v>43558</v>
      </c>
      <c r="C47" s="1" t="n">
        <v>45292</v>
      </c>
      <c r="D47" t="inlineStr">
        <is>
          <t>VÄSTRA GÖTALANDS LÄN</t>
        </is>
      </c>
      <c r="E47" t="inlineStr">
        <is>
          <t>ALINGSÅS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19460-2019</t>
        </is>
      </c>
      <c r="B48" s="1" t="n">
        <v>43565</v>
      </c>
      <c r="C48" s="1" t="n">
        <v>45292</v>
      </c>
      <c r="D48" t="inlineStr">
        <is>
          <t>VÄSTRA GÖTALANDS LÄN</t>
        </is>
      </c>
      <c r="E48" t="inlineStr">
        <is>
          <t>ALINGSÅS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20231-2019</t>
        </is>
      </c>
      <c r="B49" s="1" t="n">
        <v>43571</v>
      </c>
      <c r="C49" s="1" t="n">
        <v>45292</v>
      </c>
      <c r="D49" t="inlineStr">
        <is>
          <t>VÄSTRA GÖTALANDS LÄN</t>
        </is>
      </c>
      <c r="E49" t="inlineStr">
        <is>
          <t>ALINGSÅS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20977-2019</t>
        </is>
      </c>
      <c r="B50" s="1" t="n">
        <v>43578</v>
      </c>
      <c r="C50" s="1" t="n">
        <v>45292</v>
      </c>
      <c r="D50" t="inlineStr">
        <is>
          <t>VÄSTRA GÖTALANDS LÄN</t>
        </is>
      </c>
      <c r="E50" t="inlineStr">
        <is>
          <t>ALINGSÅS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21902-2019</t>
        </is>
      </c>
      <c r="B51" s="1" t="n">
        <v>43584</v>
      </c>
      <c r="C51" s="1" t="n">
        <v>45292</v>
      </c>
      <c r="D51" t="inlineStr">
        <is>
          <t>VÄSTRA GÖTALANDS LÄN</t>
        </is>
      </c>
      <c r="E51" t="inlineStr">
        <is>
          <t>ALINGSÅS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22930-2019</t>
        </is>
      </c>
      <c r="B52" s="1" t="n">
        <v>43591</v>
      </c>
      <c r="C52" s="1" t="n">
        <v>45292</v>
      </c>
      <c r="D52" t="inlineStr">
        <is>
          <t>VÄSTRA GÖTALANDS LÄN</t>
        </is>
      </c>
      <c r="E52" t="inlineStr">
        <is>
          <t>ALINGSÅS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23223-2019</t>
        </is>
      </c>
      <c r="B53" s="1" t="n">
        <v>43592</v>
      </c>
      <c r="C53" s="1" t="n">
        <v>45292</v>
      </c>
      <c r="D53" t="inlineStr">
        <is>
          <t>VÄSTRA GÖTALANDS LÄN</t>
        </is>
      </c>
      <c r="E53" t="inlineStr">
        <is>
          <t>ALINGSÅS</t>
        </is>
      </c>
      <c r="F53" t="inlineStr">
        <is>
          <t>Kommuner</t>
        </is>
      </c>
      <c r="G53" t="n">
        <v>4.9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23220-2019</t>
        </is>
      </c>
      <c r="B54" s="1" t="n">
        <v>43592</v>
      </c>
      <c r="C54" s="1" t="n">
        <v>45292</v>
      </c>
      <c r="D54" t="inlineStr">
        <is>
          <t>VÄSTRA GÖTALANDS LÄN</t>
        </is>
      </c>
      <c r="E54" t="inlineStr">
        <is>
          <t>ALINGSÅS</t>
        </is>
      </c>
      <c r="F54" t="inlineStr">
        <is>
          <t>Kommuner</t>
        </is>
      </c>
      <c r="G54" t="n">
        <v>4.9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24205-2019</t>
        </is>
      </c>
      <c r="B55" s="1" t="n">
        <v>43599</v>
      </c>
      <c r="C55" s="1" t="n">
        <v>45292</v>
      </c>
      <c r="D55" t="inlineStr">
        <is>
          <t>VÄSTRA GÖTALANDS LÄN</t>
        </is>
      </c>
      <c r="E55" t="inlineStr">
        <is>
          <t>ALINGSÅS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25649-2019</t>
        </is>
      </c>
      <c r="B56" s="1" t="n">
        <v>43602</v>
      </c>
      <c r="C56" s="1" t="n">
        <v>45292</v>
      </c>
      <c r="D56" t="inlineStr">
        <is>
          <t>VÄSTRA GÖTALANDS LÄN</t>
        </is>
      </c>
      <c r="E56" t="inlineStr">
        <is>
          <t>ALINGSÅS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25646-2019</t>
        </is>
      </c>
      <c r="B57" s="1" t="n">
        <v>43602</v>
      </c>
      <c r="C57" s="1" t="n">
        <v>45292</v>
      </c>
      <c r="D57" t="inlineStr">
        <is>
          <t>VÄSTRA GÖTALANDS LÄN</t>
        </is>
      </c>
      <c r="E57" t="inlineStr">
        <is>
          <t>ALINGSÅS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25728-2019</t>
        </is>
      </c>
      <c r="B58" s="1" t="n">
        <v>43608</v>
      </c>
      <c r="C58" s="1" t="n">
        <v>45292</v>
      </c>
      <c r="D58" t="inlineStr">
        <is>
          <t>VÄSTRA GÖTALANDS LÄN</t>
        </is>
      </c>
      <c r="E58" t="inlineStr">
        <is>
          <t>ALINGSÅS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26386-2019</t>
        </is>
      </c>
      <c r="B59" s="1" t="n">
        <v>43612</v>
      </c>
      <c r="C59" s="1" t="n">
        <v>45292</v>
      </c>
      <c r="D59" t="inlineStr">
        <is>
          <t>VÄSTRA GÖTALANDS LÄN</t>
        </is>
      </c>
      <c r="E59" t="inlineStr">
        <is>
          <t>ALINGSÅS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26387-2019</t>
        </is>
      </c>
      <c r="B60" s="1" t="n">
        <v>43612</v>
      </c>
      <c r="C60" s="1" t="n">
        <v>45292</v>
      </c>
      <c r="D60" t="inlineStr">
        <is>
          <t>VÄSTRA GÖTALANDS LÄN</t>
        </is>
      </c>
      <c r="E60" t="inlineStr">
        <is>
          <t>ALINGSÅS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27943-2019</t>
        </is>
      </c>
      <c r="B61" s="1" t="n">
        <v>43620</v>
      </c>
      <c r="C61" s="1" t="n">
        <v>45292</v>
      </c>
      <c r="D61" t="inlineStr">
        <is>
          <t>VÄSTRA GÖTALANDS LÄN</t>
        </is>
      </c>
      <c r="E61" t="inlineStr">
        <is>
          <t>ALINGSÅS</t>
        </is>
      </c>
      <c r="F61" t="inlineStr">
        <is>
          <t>Kyrkan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29040-2019</t>
        </is>
      </c>
      <c r="B62" s="1" t="n">
        <v>43628</v>
      </c>
      <c r="C62" s="1" t="n">
        <v>45292</v>
      </c>
      <c r="D62" t="inlineStr">
        <is>
          <t>VÄSTRA GÖTALANDS LÄN</t>
        </is>
      </c>
      <c r="E62" t="inlineStr">
        <is>
          <t>ALINGSÅS</t>
        </is>
      </c>
      <c r="F62" t="inlineStr">
        <is>
          <t>Kyrkan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30231-2019</t>
        </is>
      </c>
      <c r="B63" s="1" t="n">
        <v>43630</v>
      </c>
      <c r="C63" s="1" t="n">
        <v>45292</v>
      </c>
      <c r="D63" t="inlineStr">
        <is>
          <t>VÄSTRA GÖTALANDS LÄN</t>
        </is>
      </c>
      <c r="E63" t="inlineStr">
        <is>
          <t>ALINGSÅS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30454-2019</t>
        </is>
      </c>
      <c r="B64" s="1" t="n">
        <v>43633</v>
      </c>
      <c r="C64" s="1" t="n">
        <v>45292</v>
      </c>
      <c r="D64" t="inlineStr">
        <is>
          <t>VÄSTRA GÖTALANDS LÄN</t>
        </is>
      </c>
      <c r="E64" t="inlineStr">
        <is>
          <t>ALINGSÅS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30516-2019</t>
        </is>
      </c>
      <c r="B65" s="1" t="n">
        <v>43635</v>
      </c>
      <c r="C65" s="1" t="n">
        <v>45292</v>
      </c>
      <c r="D65" t="inlineStr">
        <is>
          <t>VÄSTRA GÖTALANDS LÄN</t>
        </is>
      </c>
      <c r="E65" t="inlineStr">
        <is>
          <t>ALINGSÅS</t>
        </is>
      </c>
      <c r="G65" t="n">
        <v>8.9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30908-2019</t>
        </is>
      </c>
      <c r="B66" s="1" t="n">
        <v>43636</v>
      </c>
      <c r="C66" s="1" t="n">
        <v>45292</v>
      </c>
      <c r="D66" t="inlineStr">
        <is>
          <t>VÄSTRA GÖTALANDS LÄN</t>
        </is>
      </c>
      <c r="E66" t="inlineStr">
        <is>
          <t>ALINGSÅS</t>
        </is>
      </c>
      <c r="G66" t="n">
        <v>8.300000000000001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32951-2019</t>
        </is>
      </c>
      <c r="B67" s="1" t="n">
        <v>43648</v>
      </c>
      <c r="C67" s="1" t="n">
        <v>45292</v>
      </c>
      <c r="D67" t="inlineStr">
        <is>
          <t>VÄSTRA GÖTALANDS LÄN</t>
        </is>
      </c>
      <c r="E67" t="inlineStr">
        <is>
          <t>ALINGSÅS</t>
        </is>
      </c>
      <c r="G67" t="n">
        <v>6.7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32947-2019</t>
        </is>
      </c>
      <c r="B68" s="1" t="n">
        <v>43648</v>
      </c>
      <c r="C68" s="1" t="n">
        <v>45292</v>
      </c>
      <c r="D68" t="inlineStr">
        <is>
          <t>VÄSTRA GÖTALANDS LÄN</t>
        </is>
      </c>
      <c r="E68" t="inlineStr">
        <is>
          <t>ALINGSÅS</t>
        </is>
      </c>
      <c r="G68" t="n">
        <v>4.6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33366-2019</t>
        </is>
      </c>
      <c r="B69" s="1" t="n">
        <v>43650</v>
      </c>
      <c r="C69" s="1" t="n">
        <v>45292</v>
      </c>
      <c r="D69" t="inlineStr">
        <is>
          <t>VÄSTRA GÖTALANDS LÄN</t>
        </is>
      </c>
      <c r="E69" t="inlineStr">
        <is>
          <t>ALINGSÅS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33885-2019</t>
        </is>
      </c>
      <c r="B70" s="1" t="n">
        <v>43653</v>
      </c>
      <c r="C70" s="1" t="n">
        <v>45292</v>
      </c>
      <c r="D70" t="inlineStr">
        <is>
          <t>VÄSTRA GÖTALANDS LÄN</t>
        </is>
      </c>
      <c r="E70" t="inlineStr">
        <is>
          <t>ALINGSÅS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34662-2019</t>
        </is>
      </c>
      <c r="B71" s="1" t="n">
        <v>43657</v>
      </c>
      <c r="C71" s="1" t="n">
        <v>45292</v>
      </c>
      <c r="D71" t="inlineStr">
        <is>
          <t>VÄSTRA GÖTALANDS LÄN</t>
        </is>
      </c>
      <c r="E71" t="inlineStr">
        <is>
          <t>ALINGSÅS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34941-2019</t>
        </is>
      </c>
      <c r="B72" s="1" t="n">
        <v>43658</v>
      </c>
      <c r="C72" s="1" t="n">
        <v>45292</v>
      </c>
      <c r="D72" t="inlineStr">
        <is>
          <t>VÄSTRA GÖTALANDS LÄN</t>
        </is>
      </c>
      <c r="E72" t="inlineStr">
        <is>
          <t>ALINGSÅS</t>
        </is>
      </c>
      <c r="F72" t="inlineStr">
        <is>
          <t>Kyrkan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35951-2019</t>
        </is>
      </c>
      <c r="B73" s="1" t="n">
        <v>43665</v>
      </c>
      <c r="C73" s="1" t="n">
        <v>45292</v>
      </c>
      <c r="D73" t="inlineStr">
        <is>
          <t>VÄSTRA GÖTALANDS LÄN</t>
        </is>
      </c>
      <c r="E73" t="inlineStr">
        <is>
          <t>ALINGSÅS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37361-2019</t>
        </is>
      </c>
      <c r="B74" s="1" t="n">
        <v>43678</v>
      </c>
      <c r="C74" s="1" t="n">
        <v>45292</v>
      </c>
      <c r="D74" t="inlineStr">
        <is>
          <t>VÄSTRA GÖTALANDS LÄN</t>
        </is>
      </c>
      <c r="E74" t="inlineStr">
        <is>
          <t>ALINGSÅS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38192-2019</t>
        </is>
      </c>
      <c r="B75" s="1" t="n">
        <v>43684</v>
      </c>
      <c r="C75" s="1" t="n">
        <v>45292</v>
      </c>
      <c r="D75" t="inlineStr">
        <is>
          <t>VÄSTRA GÖTALANDS LÄN</t>
        </is>
      </c>
      <c r="E75" t="inlineStr">
        <is>
          <t>ALINGSÅS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38195-2019</t>
        </is>
      </c>
      <c r="B76" s="1" t="n">
        <v>43684</v>
      </c>
      <c r="C76" s="1" t="n">
        <v>45292</v>
      </c>
      <c r="D76" t="inlineStr">
        <is>
          <t>VÄSTRA GÖTALANDS LÄN</t>
        </is>
      </c>
      <c r="E76" t="inlineStr">
        <is>
          <t>ALINGSÅS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38730-2019</t>
        </is>
      </c>
      <c r="B77" s="1" t="n">
        <v>43686</v>
      </c>
      <c r="C77" s="1" t="n">
        <v>45292</v>
      </c>
      <c r="D77" t="inlineStr">
        <is>
          <t>VÄSTRA GÖTALANDS LÄN</t>
        </is>
      </c>
      <c r="E77" t="inlineStr">
        <is>
          <t>ALINGSÅS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40388-2019</t>
        </is>
      </c>
      <c r="B78" s="1" t="n">
        <v>43696</v>
      </c>
      <c r="C78" s="1" t="n">
        <v>45292</v>
      </c>
      <c r="D78" t="inlineStr">
        <is>
          <t>VÄSTRA GÖTALANDS LÄN</t>
        </is>
      </c>
      <c r="E78" t="inlineStr">
        <is>
          <t>ALINGSÅS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41113-2019</t>
        </is>
      </c>
      <c r="B79" s="1" t="n">
        <v>43698</v>
      </c>
      <c r="C79" s="1" t="n">
        <v>45292</v>
      </c>
      <c r="D79" t="inlineStr">
        <is>
          <t>VÄSTRA GÖTALANDS LÄN</t>
        </is>
      </c>
      <c r="E79" t="inlineStr">
        <is>
          <t>ALINGSÅS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41723-2019</t>
        </is>
      </c>
      <c r="B80" s="1" t="n">
        <v>43699</v>
      </c>
      <c r="C80" s="1" t="n">
        <v>45292</v>
      </c>
      <c r="D80" t="inlineStr">
        <is>
          <t>VÄSTRA GÖTALANDS LÄN</t>
        </is>
      </c>
      <c r="E80" t="inlineStr">
        <is>
          <t>ALINGSÅS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44389-2019</t>
        </is>
      </c>
      <c r="B81" s="1" t="n">
        <v>43711</v>
      </c>
      <c r="C81" s="1" t="n">
        <v>45292</v>
      </c>
      <c r="D81" t="inlineStr">
        <is>
          <t>VÄSTRA GÖTALANDS LÄN</t>
        </is>
      </c>
      <c r="E81" t="inlineStr">
        <is>
          <t>ALINGSÅS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46561-2019</t>
        </is>
      </c>
      <c r="B82" s="1" t="n">
        <v>43719</v>
      </c>
      <c r="C82" s="1" t="n">
        <v>45292</v>
      </c>
      <c r="D82" t="inlineStr">
        <is>
          <t>VÄSTRA GÖTALANDS LÄN</t>
        </is>
      </c>
      <c r="E82" t="inlineStr">
        <is>
          <t>ALINGSÅS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48319-2019</t>
        </is>
      </c>
      <c r="B83" s="1" t="n">
        <v>43726</v>
      </c>
      <c r="C83" s="1" t="n">
        <v>45292</v>
      </c>
      <c r="D83" t="inlineStr">
        <is>
          <t>VÄSTRA GÖTALANDS LÄN</t>
        </is>
      </c>
      <c r="E83" t="inlineStr">
        <is>
          <t>ALINGSÅS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48322-2019</t>
        </is>
      </c>
      <c r="B84" s="1" t="n">
        <v>43726</v>
      </c>
      <c r="C84" s="1" t="n">
        <v>45292</v>
      </c>
      <c r="D84" t="inlineStr">
        <is>
          <t>VÄSTRA GÖTALANDS LÄN</t>
        </is>
      </c>
      <c r="E84" t="inlineStr">
        <is>
          <t>ALINGSÅS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49787-2019</t>
        </is>
      </c>
      <c r="B85" s="1" t="n">
        <v>43733</v>
      </c>
      <c r="C85" s="1" t="n">
        <v>45292</v>
      </c>
      <c r="D85" t="inlineStr">
        <is>
          <t>VÄSTRA GÖTALANDS LÄN</t>
        </is>
      </c>
      <c r="E85" t="inlineStr">
        <is>
          <t>ALINGSÅS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50210-2019</t>
        </is>
      </c>
      <c r="B86" s="1" t="n">
        <v>43734</v>
      </c>
      <c r="C86" s="1" t="n">
        <v>45292</v>
      </c>
      <c r="D86" t="inlineStr">
        <is>
          <t>VÄSTRA GÖTALANDS LÄN</t>
        </is>
      </c>
      <c r="E86" t="inlineStr">
        <is>
          <t>ALINGSÅS</t>
        </is>
      </c>
      <c r="F86" t="inlineStr">
        <is>
          <t>Kyrkan</t>
        </is>
      </c>
      <c r="G86" t="n">
        <v>7.6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50236-2019</t>
        </is>
      </c>
      <c r="B87" s="1" t="n">
        <v>43734</v>
      </c>
      <c r="C87" s="1" t="n">
        <v>45292</v>
      </c>
      <c r="D87" t="inlineStr">
        <is>
          <t>VÄSTRA GÖTALANDS LÄN</t>
        </is>
      </c>
      <c r="E87" t="inlineStr">
        <is>
          <t>ALINGSÅS</t>
        </is>
      </c>
      <c r="F87" t="inlineStr">
        <is>
          <t>Kyrkan</t>
        </is>
      </c>
      <c r="G87" t="n">
        <v>13.5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50363-2019</t>
        </is>
      </c>
      <c r="B88" s="1" t="n">
        <v>43735</v>
      </c>
      <c r="C88" s="1" t="n">
        <v>45292</v>
      </c>
      <c r="D88" t="inlineStr">
        <is>
          <t>VÄSTRA GÖTALANDS LÄN</t>
        </is>
      </c>
      <c r="E88" t="inlineStr">
        <is>
          <t>ALINGSÅS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50832-2019</t>
        </is>
      </c>
      <c r="B89" s="1" t="n">
        <v>43738</v>
      </c>
      <c r="C89" s="1" t="n">
        <v>45292</v>
      </c>
      <c r="D89" t="inlineStr">
        <is>
          <t>VÄSTRA GÖTALANDS LÄN</t>
        </is>
      </c>
      <c r="E89" t="inlineStr">
        <is>
          <t>ALINGSÅS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52060-2019</t>
        </is>
      </c>
      <c r="B90" s="1" t="n">
        <v>43742</v>
      </c>
      <c r="C90" s="1" t="n">
        <v>45292</v>
      </c>
      <c r="D90" t="inlineStr">
        <is>
          <t>VÄSTRA GÖTALANDS LÄN</t>
        </is>
      </c>
      <c r="E90" t="inlineStr">
        <is>
          <t>ALINGSÅS</t>
        </is>
      </c>
      <c r="G90" t="n">
        <v>5.8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56953-2019</t>
        </is>
      </c>
      <c r="B91" s="1" t="n">
        <v>43766</v>
      </c>
      <c r="C91" s="1" t="n">
        <v>45292</v>
      </c>
      <c r="D91" t="inlineStr">
        <is>
          <t>VÄSTRA GÖTALANDS LÄN</t>
        </is>
      </c>
      <c r="E91" t="inlineStr">
        <is>
          <t>ALINGSÅS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58907-2019</t>
        </is>
      </c>
      <c r="B92" s="1" t="n">
        <v>43774</v>
      </c>
      <c r="C92" s="1" t="n">
        <v>45292</v>
      </c>
      <c r="D92" t="inlineStr">
        <is>
          <t>VÄSTRA GÖTALANDS LÄN</t>
        </is>
      </c>
      <c r="E92" t="inlineStr">
        <is>
          <t>ALINGSÅS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61427-2019</t>
        </is>
      </c>
      <c r="B93" s="1" t="n">
        <v>43783</v>
      </c>
      <c r="C93" s="1" t="n">
        <v>45292</v>
      </c>
      <c r="D93" t="inlineStr">
        <is>
          <t>VÄSTRA GÖTALANDS LÄN</t>
        </is>
      </c>
      <c r="E93" t="inlineStr">
        <is>
          <t>ALINGSÅS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61766-2019</t>
        </is>
      </c>
      <c r="B94" s="1" t="n">
        <v>43784</v>
      </c>
      <c r="C94" s="1" t="n">
        <v>45292</v>
      </c>
      <c r="D94" t="inlineStr">
        <is>
          <t>VÄSTRA GÖTALANDS LÄN</t>
        </is>
      </c>
      <c r="E94" t="inlineStr">
        <is>
          <t>ALINGSÅS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61706-2019</t>
        </is>
      </c>
      <c r="B95" s="1" t="n">
        <v>43784</v>
      </c>
      <c r="C95" s="1" t="n">
        <v>45292</v>
      </c>
      <c r="D95" t="inlineStr">
        <is>
          <t>VÄSTRA GÖTALANDS LÄN</t>
        </is>
      </c>
      <c r="E95" t="inlineStr">
        <is>
          <t>ALINGSÅS</t>
        </is>
      </c>
      <c r="G95" t="n">
        <v>5.4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62223-2019</t>
        </is>
      </c>
      <c r="B96" s="1" t="n">
        <v>43788</v>
      </c>
      <c r="C96" s="1" t="n">
        <v>45292</v>
      </c>
      <c r="D96" t="inlineStr">
        <is>
          <t>VÄSTRA GÖTALANDS LÄN</t>
        </is>
      </c>
      <c r="E96" t="inlineStr">
        <is>
          <t>ALINGSÅS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62996-2019</t>
        </is>
      </c>
      <c r="B97" s="1" t="n">
        <v>43790</v>
      </c>
      <c r="C97" s="1" t="n">
        <v>45292</v>
      </c>
      <c r="D97" t="inlineStr">
        <is>
          <t>VÄSTRA GÖTALANDS LÄN</t>
        </is>
      </c>
      <c r="E97" t="inlineStr">
        <is>
          <t>ALINGSÅS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63542-2019</t>
        </is>
      </c>
      <c r="B98" s="1" t="n">
        <v>43794</v>
      </c>
      <c r="C98" s="1" t="n">
        <v>45292</v>
      </c>
      <c r="D98" t="inlineStr">
        <is>
          <t>VÄSTRA GÖTALANDS LÄN</t>
        </is>
      </c>
      <c r="E98" t="inlineStr">
        <is>
          <t>ALINGSÅS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63705-2019</t>
        </is>
      </c>
      <c r="B99" s="1" t="n">
        <v>43795</v>
      </c>
      <c r="C99" s="1" t="n">
        <v>45292</v>
      </c>
      <c r="D99" t="inlineStr">
        <is>
          <t>VÄSTRA GÖTALANDS LÄN</t>
        </is>
      </c>
      <c r="E99" t="inlineStr">
        <is>
          <t>ALINGSÅS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65209-2019</t>
        </is>
      </c>
      <c r="B100" s="1" t="n">
        <v>43802</v>
      </c>
      <c r="C100" s="1" t="n">
        <v>45292</v>
      </c>
      <c r="D100" t="inlineStr">
        <is>
          <t>VÄSTRA GÖTALANDS LÄN</t>
        </is>
      </c>
      <c r="E100" t="inlineStr">
        <is>
          <t>ALINGSÅS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67326-2019</t>
        </is>
      </c>
      <c r="B101" s="1" t="n">
        <v>43812</v>
      </c>
      <c r="C101" s="1" t="n">
        <v>45292</v>
      </c>
      <c r="D101" t="inlineStr">
        <is>
          <t>VÄSTRA GÖTALANDS LÄN</t>
        </is>
      </c>
      <c r="E101" t="inlineStr">
        <is>
          <t>ALINGSÅS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67895-2019</t>
        </is>
      </c>
      <c r="B102" s="1" t="n">
        <v>43816</v>
      </c>
      <c r="C102" s="1" t="n">
        <v>45292</v>
      </c>
      <c r="D102" t="inlineStr">
        <is>
          <t>VÄSTRA GÖTALANDS LÄN</t>
        </is>
      </c>
      <c r="E102" t="inlineStr">
        <is>
          <t>ALINGSÅS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68909-2019</t>
        </is>
      </c>
      <c r="B103" s="1" t="n">
        <v>43822</v>
      </c>
      <c r="C103" s="1" t="n">
        <v>45292</v>
      </c>
      <c r="D103" t="inlineStr">
        <is>
          <t>VÄSTRA GÖTALANDS LÄN</t>
        </is>
      </c>
      <c r="E103" t="inlineStr">
        <is>
          <t>ALINGSÅS</t>
        </is>
      </c>
      <c r="G103" t="n">
        <v>7.3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355-2020</t>
        </is>
      </c>
      <c r="B104" s="1" t="n">
        <v>43837</v>
      </c>
      <c r="C104" s="1" t="n">
        <v>45292</v>
      </c>
      <c r="D104" t="inlineStr">
        <is>
          <t>VÄSTRA GÖTALANDS LÄN</t>
        </is>
      </c>
      <c r="E104" t="inlineStr">
        <is>
          <t>ALINGSÅS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1044-2020</t>
        </is>
      </c>
      <c r="B105" s="1" t="n">
        <v>43839</v>
      </c>
      <c r="C105" s="1" t="n">
        <v>45292</v>
      </c>
      <c r="D105" t="inlineStr">
        <is>
          <t>VÄSTRA GÖTALANDS LÄN</t>
        </is>
      </c>
      <c r="E105" t="inlineStr">
        <is>
          <t>ALINGSÅS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1521-2020</t>
        </is>
      </c>
      <c r="B106" s="1" t="n">
        <v>43843</v>
      </c>
      <c r="C106" s="1" t="n">
        <v>45292</v>
      </c>
      <c r="D106" t="inlineStr">
        <is>
          <t>VÄSTRA GÖTALANDS LÄN</t>
        </is>
      </c>
      <c r="E106" t="inlineStr">
        <is>
          <t>ALINGSÅS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1835-2020</t>
        </is>
      </c>
      <c r="B107" s="1" t="n">
        <v>43844</v>
      </c>
      <c r="C107" s="1" t="n">
        <v>45292</v>
      </c>
      <c r="D107" t="inlineStr">
        <is>
          <t>VÄSTRA GÖTALANDS LÄN</t>
        </is>
      </c>
      <c r="E107" t="inlineStr">
        <is>
          <t>ALINGSÅS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1949-2020</t>
        </is>
      </c>
      <c r="B108" s="1" t="n">
        <v>43845</v>
      </c>
      <c r="C108" s="1" t="n">
        <v>45292</v>
      </c>
      <c r="D108" t="inlineStr">
        <is>
          <t>VÄSTRA GÖTALANDS LÄN</t>
        </is>
      </c>
      <c r="E108" t="inlineStr">
        <is>
          <t>ALINGSÅS</t>
        </is>
      </c>
      <c r="G108" t="n">
        <v>5.6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2257-2020</t>
        </is>
      </c>
      <c r="B109" s="1" t="n">
        <v>43846</v>
      </c>
      <c r="C109" s="1" t="n">
        <v>45292</v>
      </c>
      <c r="D109" t="inlineStr">
        <is>
          <t>VÄSTRA GÖTALANDS LÄN</t>
        </is>
      </c>
      <c r="E109" t="inlineStr">
        <is>
          <t>ALINGSÅS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2632-2020</t>
        </is>
      </c>
      <c r="B110" s="1" t="n">
        <v>43847</v>
      </c>
      <c r="C110" s="1" t="n">
        <v>45292</v>
      </c>
      <c r="D110" t="inlineStr">
        <is>
          <t>VÄSTRA GÖTALANDS LÄN</t>
        </is>
      </c>
      <c r="E110" t="inlineStr">
        <is>
          <t>ALINGSÅS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5847-2020</t>
        </is>
      </c>
      <c r="B111" s="1" t="n">
        <v>43864</v>
      </c>
      <c r="C111" s="1" t="n">
        <v>45292</v>
      </c>
      <c r="D111" t="inlineStr">
        <is>
          <t>VÄSTRA GÖTALANDS LÄN</t>
        </is>
      </c>
      <c r="E111" t="inlineStr">
        <is>
          <t>ALINGSÅS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8292-2020</t>
        </is>
      </c>
      <c r="B112" s="1" t="n">
        <v>43875</v>
      </c>
      <c r="C112" s="1" t="n">
        <v>45292</v>
      </c>
      <c r="D112" t="inlineStr">
        <is>
          <t>VÄSTRA GÖTALANDS LÄN</t>
        </is>
      </c>
      <c r="E112" t="inlineStr">
        <is>
          <t>ALINGSÅS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9133-2020</t>
        </is>
      </c>
      <c r="B113" s="1" t="n">
        <v>43879</v>
      </c>
      <c r="C113" s="1" t="n">
        <v>45292</v>
      </c>
      <c r="D113" t="inlineStr">
        <is>
          <t>VÄSTRA GÖTALANDS LÄN</t>
        </is>
      </c>
      <c r="E113" t="inlineStr">
        <is>
          <t>ALINGSÅS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9126-2020</t>
        </is>
      </c>
      <c r="B114" s="1" t="n">
        <v>43879</v>
      </c>
      <c r="C114" s="1" t="n">
        <v>45292</v>
      </c>
      <c r="D114" t="inlineStr">
        <is>
          <t>VÄSTRA GÖTALANDS LÄN</t>
        </is>
      </c>
      <c r="E114" t="inlineStr">
        <is>
          <t>ALINGSÅS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9854-2020</t>
        </is>
      </c>
      <c r="B115" s="1" t="n">
        <v>43882</v>
      </c>
      <c r="C115" s="1" t="n">
        <v>45292</v>
      </c>
      <c r="D115" t="inlineStr">
        <is>
          <t>VÄSTRA GÖTALANDS LÄN</t>
        </is>
      </c>
      <c r="E115" t="inlineStr">
        <is>
          <t>ALINGSÅS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10520-2020</t>
        </is>
      </c>
      <c r="B116" s="1" t="n">
        <v>43886</v>
      </c>
      <c r="C116" s="1" t="n">
        <v>45292</v>
      </c>
      <c r="D116" t="inlineStr">
        <is>
          <t>VÄSTRA GÖTALANDS LÄN</t>
        </is>
      </c>
      <c r="E116" t="inlineStr">
        <is>
          <t>ALINGSÅS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10113-2020</t>
        </is>
      </c>
      <c r="B117" s="1" t="n">
        <v>43887</v>
      </c>
      <c r="C117" s="1" t="n">
        <v>45292</v>
      </c>
      <c r="D117" t="inlineStr">
        <is>
          <t>VÄSTRA GÖTALANDS LÄN</t>
        </is>
      </c>
      <c r="E117" t="inlineStr">
        <is>
          <t>ALINGSÅS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11309-2020</t>
        </is>
      </c>
      <c r="B118" s="1" t="n">
        <v>43892</v>
      </c>
      <c r="C118" s="1" t="n">
        <v>45292</v>
      </c>
      <c r="D118" t="inlineStr">
        <is>
          <t>VÄSTRA GÖTALANDS LÄN</t>
        </is>
      </c>
      <c r="E118" t="inlineStr">
        <is>
          <t>ALINGSÅS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11306-2020</t>
        </is>
      </c>
      <c r="B119" s="1" t="n">
        <v>43892</v>
      </c>
      <c r="C119" s="1" t="n">
        <v>45292</v>
      </c>
      <c r="D119" t="inlineStr">
        <is>
          <t>VÄSTRA GÖTALANDS LÄN</t>
        </is>
      </c>
      <c r="E119" t="inlineStr">
        <is>
          <t>ALINGSÅS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12183-2020</t>
        </is>
      </c>
      <c r="B120" s="1" t="n">
        <v>43895</v>
      </c>
      <c r="C120" s="1" t="n">
        <v>45292</v>
      </c>
      <c r="D120" t="inlineStr">
        <is>
          <t>VÄSTRA GÖTALANDS LÄN</t>
        </is>
      </c>
      <c r="E120" t="inlineStr">
        <is>
          <t>ALINGSÅS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13024-2020</t>
        </is>
      </c>
      <c r="B121" s="1" t="n">
        <v>43900</v>
      </c>
      <c r="C121" s="1" t="n">
        <v>45292</v>
      </c>
      <c r="D121" t="inlineStr">
        <is>
          <t>VÄSTRA GÖTALANDS LÄN</t>
        </is>
      </c>
      <c r="E121" t="inlineStr">
        <is>
          <t>ALINGSÅS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14346-2020</t>
        </is>
      </c>
      <c r="B122" s="1" t="n">
        <v>43908</v>
      </c>
      <c r="C122" s="1" t="n">
        <v>45292</v>
      </c>
      <c r="D122" t="inlineStr">
        <is>
          <t>VÄSTRA GÖTALANDS LÄN</t>
        </is>
      </c>
      <c r="E122" t="inlineStr">
        <is>
          <t>ALINGSÅS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16150-2020</t>
        </is>
      </c>
      <c r="B123" s="1" t="n">
        <v>43916</v>
      </c>
      <c r="C123" s="1" t="n">
        <v>45292</v>
      </c>
      <c r="D123" t="inlineStr">
        <is>
          <t>VÄSTRA GÖTALANDS LÄN</t>
        </is>
      </c>
      <c r="E123" t="inlineStr">
        <is>
          <t>ALINGSÅS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16151-2020</t>
        </is>
      </c>
      <c r="B124" s="1" t="n">
        <v>43916</v>
      </c>
      <c r="C124" s="1" t="n">
        <v>45292</v>
      </c>
      <c r="D124" t="inlineStr">
        <is>
          <t>VÄSTRA GÖTALANDS LÄN</t>
        </is>
      </c>
      <c r="E124" t="inlineStr">
        <is>
          <t>ALINGSÅS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17497-2020</t>
        </is>
      </c>
      <c r="B125" s="1" t="n">
        <v>43920</v>
      </c>
      <c r="C125" s="1" t="n">
        <v>45292</v>
      </c>
      <c r="D125" t="inlineStr">
        <is>
          <t>VÄSTRA GÖTALANDS LÄN</t>
        </is>
      </c>
      <c r="E125" t="inlineStr">
        <is>
          <t>ALINGSÅS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17321-2020</t>
        </is>
      </c>
      <c r="B126" s="1" t="n">
        <v>43922</v>
      </c>
      <c r="C126" s="1" t="n">
        <v>45292</v>
      </c>
      <c r="D126" t="inlineStr">
        <is>
          <t>VÄSTRA GÖTALANDS LÄN</t>
        </is>
      </c>
      <c r="E126" t="inlineStr">
        <is>
          <t>ALINGSÅS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18042-2020</t>
        </is>
      </c>
      <c r="B127" s="1" t="n">
        <v>43927</v>
      </c>
      <c r="C127" s="1" t="n">
        <v>45292</v>
      </c>
      <c r="D127" t="inlineStr">
        <is>
          <t>VÄSTRA GÖTALANDS LÄN</t>
        </is>
      </c>
      <c r="E127" t="inlineStr">
        <is>
          <t>ALINGSÅS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18317-2020</t>
        </is>
      </c>
      <c r="B128" s="1" t="n">
        <v>43928</v>
      </c>
      <c r="C128" s="1" t="n">
        <v>45292</v>
      </c>
      <c r="D128" t="inlineStr">
        <is>
          <t>VÄSTRA GÖTALANDS LÄN</t>
        </is>
      </c>
      <c r="E128" t="inlineStr">
        <is>
          <t>ALINGSÅS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19008-2020</t>
        </is>
      </c>
      <c r="B129" s="1" t="n">
        <v>43936</v>
      </c>
      <c r="C129" s="1" t="n">
        <v>45292</v>
      </c>
      <c r="D129" t="inlineStr">
        <is>
          <t>VÄSTRA GÖTALANDS LÄN</t>
        </is>
      </c>
      <c r="E129" t="inlineStr">
        <is>
          <t>ALINGSÅS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19441-2020</t>
        </is>
      </c>
      <c r="B130" s="1" t="n">
        <v>43938</v>
      </c>
      <c r="C130" s="1" t="n">
        <v>45292</v>
      </c>
      <c r="D130" t="inlineStr">
        <is>
          <t>VÄSTRA GÖTALANDS LÄN</t>
        </is>
      </c>
      <c r="E130" t="inlineStr">
        <is>
          <t>ALINGSÅS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19534-2020</t>
        </is>
      </c>
      <c r="B131" s="1" t="n">
        <v>43941</v>
      </c>
      <c r="C131" s="1" t="n">
        <v>45292</v>
      </c>
      <c r="D131" t="inlineStr">
        <is>
          <t>VÄSTRA GÖTALANDS LÄN</t>
        </is>
      </c>
      <c r="E131" t="inlineStr">
        <is>
          <t>ALINGSÅS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20101-2020</t>
        </is>
      </c>
      <c r="B132" s="1" t="n">
        <v>43944</v>
      </c>
      <c r="C132" s="1" t="n">
        <v>45292</v>
      </c>
      <c r="D132" t="inlineStr">
        <is>
          <t>VÄSTRA GÖTALANDS LÄN</t>
        </is>
      </c>
      <c r="E132" t="inlineStr">
        <is>
          <t>ALINGSÅS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20980-2020</t>
        </is>
      </c>
      <c r="B133" s="1" t="n">
        <v>43950</v>
      </c>
      <c r="C133" s="1" t="n">
        <v>45292</v>
      </c>
      <c r="D133" t="inlineStr">
        <is>
          <t>VÄSTRA GÖTALANDS LÄN</t>
        </is>
      </c>
      <c r="E133" t="inlineStr">
        <is>
          <t>ALINGSÅS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21914-2020</t>
        </is>
      </c>
      <c r="B134" s="1" t="n">
        <v>43958</v>
      </c>
      <c r="C134" s="1" t="n">
        <v>45292</v>
      </c>
      <c r="D134" t="inlineStr">
        <is>
          <t>VÄSTRA GÖTALANDS LÄN</t>
        </is>
      </c>
      <c r="E134" t="inlineStr">
        <is>
          <t>ALINGSÅS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22564-2020</t>
        </is>
      </c>
      <c r="B135" s="1" t="n">
        <v>43963</v>
      </c>
      <c r="C135" s="1" t="n">
        <v>45292</v>
      </c>
      <c r="D135" t="inlineStr">
        <is>
          <t>VÄSTRA GÖTALANDS LÄN</t>
        </is>
      </c>
      <c r="E135" t="inlineStr">
        <is>
          <t>ALINGSÅS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24498-2020</t>
        </is>
      </c>
      <c r="B136" s="1" t="n">
        <v>43975</v>
      </c>
      <c r="C136" s="1" t="n">
        <v>45292</v>
      </c>
      <c r="D136" t="inlineStr">
        <is>
          <t>VÄSTRA GÖTALANDS LÄN</t>
        </is>
      </c>
      <c r="E136" t="inlineStr">
        <is>
          <t>ALINGSÅS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24673-2020</t>
        </is>
      </c>
      <c r="B137" s="1" t="n">
        <v>43978</v>
      </c>
      <c r="C137" s="1" t="n">
        <v>45292</v>
      </c>
      <c r="D137" t="inlineStr">
        <is>
          <t>VÄSTRA GÖTALANDS LÄN</t>
        </is>
      </c>
      <c r="E137" t="inlineStr">
        <is>
          <t>ALINGSÅS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25882-2020</t>
        </is>
      </c>
      <c r="B138" s="1" t="n">
        <v>43984</v>
      </c>
      <c r="C138" s="1" t="n">
        <v>45292</v>
      </c>
      <c r="D138" t="inlineStr">
        <is>
          <t>VÄSTRA GÖTALANDS LÄN</t>
        </is>
      </c>
      <c r="E138" t="inlineStr">
        <is>
          <t>ALINGSÅS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26035-2020</t>
        </is>
      </c>
      <c r="B139" s="1" t="n">
        <v>43985</v>
      </c>
      <c r="C139" s="1" t="n">
        <v>45292</v>
      </c>
      <c r="D139" t="inlineStr">
        <is>
          <t>VÄSTRA GÖTALANDS LÄN</t>
        </is>
      </c>
      <c r="E139" t="inlineStr">
        <is>
          <t>ALINGSÅS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26349-2020</t>
        </is>
      </c>
      <c r="B140" s="1" t="n">
        <v>43986</v>
      </c>
      <c r="C140" s="1" t="n">
        <v>45292</v>
      </c>
      <c r="D140" t="inlineStr">
        <is>
          <t>VÄSTRA GÖTALANDS LÄN</t>
        </is>
      </c>
      <c r="E140" t="inlineStr">
        <is>
          <t>ALINGSÅS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26277-2020</t>
        </is>
      </c>
      <c r="B141" s="1" t="n">
        <v>43986</v>
      </c>
      <c r="C141" s="1" t="n">
        <v>45292</v>
      </c>
      <c r="D141" t="inlineStr">
        <is>
          <t>VÄSTRA GÖTALANDS LÄN</t>
        </is>
      </c>
      <c r="E141" t="inlineStr">
        <is>
          <t>ALINGSÅS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27481-2020</t>
        </is>
      </c>
      <c r="B142" s="1" t="n">
        <v>43993</v>
      </c>
      <c r="C142" s="1" t="n">
        <v>45292</v>
      </c>
      <c r="D142" t="inlineStr">
        <is>
          <t>VÄSTRA GÖTALANDS LÄN</t>
        </is>
      </c>
      <c r="E142" t="inlineStr">
        <is>
          <t>ALINGSÅS</t>
        </is>
      </c>
      <c r="F142" t="inlineStr">
        <is>
          <t>Övriga Aktiebolag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27585-2020</t>
        </is>
      </c>
      <c r="B143" s="1" t="n">
        <v>43993</v>
      </c>
      <c r="C143" s="1" t="n">
        <v>45292</v>
      </c>
      <c r="D143" t="inlineStr">
        <is>
          <t>VÄSTRA GÖTALANDS LÄN</t>
        </is>
      </c>
      <c r="E143" t="inlineStr">
        <is>
          <t>ALINGSÅS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27969-2020</t>
        </is>
      </c>
      <c r="B144" s="1" t="n">
        <v>43997</v>
      </c>
      <c r="C144" s="1" t="n">
        <v>45292</v>
      </c>
      <c r="D144" t="inlineStr">
        <is>
          <t>VÄSTRA GÖTALANDS LÄN</t>
        </is>
      </c>
      <c r="E144" t="inlineStr">
        <is>
          <t>ALINGSÅS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30311-2020</t>
        </is>
      </c>
      <c r="B145" s="1" t="n">
        <v>44007</v>
      </c>
      <c r="C145" s="1" t="n">
        <v>45292</v>
      </c>
      <c r="D145" t="inlineStr">
        <is>
          <t>VÄSTRA GÖTALANDS LÄN</t>
        </is>
      </c>
      <c r="E145" t="inlineStr">
        <is>
          <t>ALINGSÅS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31460-2020</t>
        </is>
      </c>
      <c r="B146" s="1" t="n">
        <v>44013</v>
      </c>
      <c r="C146" s="1" t="n">
        <v>45292</v>
      </c>
      <c r="D146" t="inlineStr">
        <is>
          <t>VÄSTRA GÖTALANDS LÄN</t>
        </is>
      </c>
      <c r="E146" t="inlineStr">
        <is>
          <t>ALINGSÅS</t>
        </is>
      </c>
      <c r="G146" t="n">
        <v>17.7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31466-2020</t>
        </is>
      </c>
      <c r="B147" s="1" t="n">
        <v>44013</v>
      </c>
      <c r="C147" s="1" t="n">
        <v>45292</v>
      </c>
      <c r="D147" t="inlineStr">
        <is>
          <t>VÄSTRA GÖTALANDS LÄN</t>
        </is>
      </c>
      <c r="E147" t="inlineStr">
        <is>
          <t>ALINGSÅS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31478-2020</t>
        </is>
      </c>
      <c r="B148" s="1" t="n">
        <v>44013</v>
      </c>
      <c r="C148" s="1" t="n">
        <v>45292</v>
      </c>
      <c r="D148" t="inlineStr">
        <is>
          <t>VÄSTRA GÖTALANDS LÄN</t>
        </is>
      </c>
      <c r="E148" t="inlineStr">
        <is>
          <t>ALINGSÅS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33521-2020</t>
        </is>
      </c>
      <c r="B149" s="1" t="n">
        <v>44025</v>
      </c>
      <c r="C149" s="1" t="n">
        <v>45292</v>
      </c>
      <c r="D149" t="inlineStr">
        <is>
          <t>VÄSTRA GÖTALANDS LÄN</t>
        </is>
      </c>
      <c r="E149" t="inlineStr">
        <is>
          <t>ALINGSÅS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36761-2020</t>
        </is>
      </c>
      <c r="B150" s="1" t="n">
        <v>44053</v>
      </c>
      <c r="C150" s="1" t="n">
        <v>45292</v>
      </c>
      <c r="D150" t="inlineStr">
        <is>
          <t>VÄSTRA GÖTALANDS LÄN</t>
        </is>
      </c>
      <c r="E150" t="inlineStr">
        <is>
          <t>ALINGSÅS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49287-2020</t>
        </is>
      </c>
      <c r="B151" s="1" t="n">
        <v>44105</v>
      </c>
      <c r="C151" s="1" t="n">
        <v>45292</v>
      </c>
      <c r="D151" t="inlineStr">
        <is>
          <t>VÄSTRA GÖTALANDS LÄN</t>
        </is>
      </c>
      <c r="E151" t="inlineStr">
        <is>
          <t>ALINGSÅS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51531-2020</t>
        </is>
      </c>
      <c r="B152" s="1" t="n">
        <v>44113</v>
      </c>
      <c r="C152" s="1" t="n">
        <v>45292</v>
      </c>
      <c r="D152" t="inlineStr">
        <is>
          <t>VÄSTRA GÖTALANDS LÄN</t>
        </is>
      </c>
      <c r="E152" t="inlineStr">
        <is>
          <t>ALINGSÅS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51540-2020</t>
        </is>
      </c>
      <c r="B153" s="1" t="n">
        <v>44113</v>
      </c>
      <c r="C153" s="1" t="n">
        <v>45292</v>
      </c>
      <c r="D153" t="inlineStr">
        <is>
          <t>VÄSTRA GÖTALANDS LÄN</t>
        </is>
      </c>
      <c r="E153" t="inlineStr">
        <is>
          <t>ALINGSÅS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52173-2020</t>
        </is>
      </c>
      <c r="B154" s="1" t="n">
        <v>44117</v>
      </c>
      <c r="C154" s="1" t="n">
        <v>45292</v>
      </c>
      <c r="D154" t="inlineStr">
        <is>
          <t>VÄSTRA GÖTALANDS LÄN</t>
        </is>
      </c>
      <c r="E154" t="inlineStr">
        <is>
          <t>ALINGSÅS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53226-2020</t>
        </is>
      </c>
      <c r="B155" s="1" t="n">
        <v>44123</v>
      </c>
      <c r="C155" s="1" t="n">
        <v>45292</v>
      </c>
      <c r="D155" t="inlineStr">
        <is>
          <t>VÄSTRA GÖTALANDS LÄN</t>
        </is>
      </c>
      <c r="E155" t="inlineStr">
        <is>
          <t>ALINGSÅS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55479-2020</t>
        </is>
      </c>
      <c r="B156" s="1" t="n">
        <v>44131</v>
      </c>
      <c r="C156" s="1" t="n">
        <v>45292</v>
      </c>
      <c r="D156" t="inlineStr">
        <is>
          <t>VÄSTRA GÖTALANDS LÄN</t>
        </is>
      </c>
      <c r="E156" t="inlineStr">
        <is>
          <t>ALINGSÅS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55525-2020</t>
        </is>
      </c>
      <c r="B157" s="1" t="n">
        <v>44131</v>
      </c>
      <c r="C157" s="1" t="n">
        <v>45292</v>
      </c>
      <c r="D157" t="inlineStr">
        <is>
          <t>VÄSTRA GÖTALANDS LÄN</t>
        </is>
      </c>
      <c r="E157" t="inlineStr">
        <is>
          <t>ALINGSÅS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57203-2020</t>
        </is>
      </c>
      <c r="B158" s="1" t="n">
        <v>44139</v>
      </c>
      <c r="C158" s="1" t="n">
        <v>45292</v>
      </c>
      <c r="D158" t="inlineStr">
        <is>
          <t>VÄSTRA GÖTALANDS LÄN</t>
        </is>
      </c>
      <c r="E158" t="inlineStr">
        <is>
          <t>ALINGSÅS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59059-2020</t>
        </is>
      </c>
      <c r="B159" s="1" t="n">
        <v>44147</v>
      </c>
      <c r="C159" s="1" t="n">
        <v>45292</v>
      </c>
      <c r="D159" t="inlineStr">
        <is>
          <t>VÄSTRA GÖTALANDS LÄN</t>
        </is>
      </c>
      <c r="E159" t="inlineStr">
        <is>
          <t>ALINGSÅS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63118-2020</t>
        </is>
      </c>
      <c r="B160" s="1" t="n">
        <v>44162</v>
      </c>
      <c r="C160" s="1" t="n">
        <v>45292</v>
      </c>
      <c r="D160" t="inlineStr">
        <is>
          <t>VÄSTRA GÖTALANDS LÄN</t>
        </is>
      </c>
      <c r="E160" t="inlineStr">
        <is>
          <t>ALINGSÅS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63970-2020</t>
        </is>
      </c>
      <c r="B161" s="1" t="n">
        <v>44167</v>
      </c>
      <c r="C161" s="1" t="n">
        <v>45292</v>
      </c>
      <c r="D161" t="inlineStr">
        <is>
          <t>VÄSTRA GÖTALANDS LÄN</t>
        </is>
      </c>
      <c r="E161" t="inlineStr">
        <is>
          <t>ALINGSÅS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64952-2020</t>
        </is>
      </c>
      <c r="B162" s="1" t="n">
        <v>44172</v>
      </c>
      <c r="C162" s="1" t="n">
        <v>45292</v>
      </c>
      <c r="D162" t="inlineStr">
        <is>
          <t>VÄSTRA GÖTALANDS LÄN</t>
        </is>
      </c>
      <c r="E162" t="inlineStr">
        <is>
          <t>ALINGSÅS</t>
        </is>
      </c>
      <c r="F162" t="inlineStr">
        <is>
          <t>Kommuner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67662-2020</t>
        </is>
      </c>
      <c r="B163" s="1" t="n">
        <v>44182</v>
      </c>
      <c r="C163" s="1" t="n">
        <v>45292</v>
      </c>
      <c r="D163" t="inlineStr">
        <is>
          <t>VÄSTRA GÖTALANDS LÄN</t>
        </is>
      </c>
      <c r="E163" t="inlineStr">
        <is>
          <t>ALINGSÅS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211-2021</t>
        </is>
      </c>
      <c r="B164" s="1" t="n">
        <v>44200</v>
      </c>
      <c r="C164" s="1" t="n">
        <v>45292</v>
      </c>
      <c r="D164" t="inlineStr">
        <is>
          <t>VÄSTRA GÖTALANDS LÄN</t>
        </is>
      </c>
      <c r="E164" t="inlineStr">
        <is>
          <t>ALINGSÅS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2400-2021</t>
        </is>
      </c>
      <c r="B165" s="1" t="n">
        <v>44211</v>
      </c>
      <c r="C165" s="1" t="n">
        <v>45292</v>
      </c>
      <c r="D165" t="inlineStr">
        <is>
          <t>VÄSTRA GÖTALANDS LÄN</t>
        </is>
      </c>
      <c r="E165" t="inlineStr">
        <is>
          <t>ALINGSÅS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2455-2021</t>
        </is>
      </c>
      <c r="B166" s="1" t="n">
        <v>44214</v>
      </c>
      <c r="C166" s="1" t="n">
        <v>45292</v>
      </c>
      <c r="D166" t="inlineStr">
        <is>
          <t>VÄSTRA GÖTALANDS LÄN</t>
        </is>
      </c>
      <c r="E166" t="inlineStr">
        <is>
          <t>ALINGSÅS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3451-2021</t>
        </is>
      </c>
      <c r="B167" s="1" t="n">
        <v>44218</v>
      </c>
      <c r="C167" s="1" t="n">
        <v>45292</v>
      </c>
      <c r="D167" t="inlineStr">
        <is>
          <t>VÄSTRA GÖTALANDS LÄN</t>
        </is>
      </c>
      <c r="E167" t="inlineStr">
        <is>
          <t>ALINGSÅS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6391-2021</t>
        </is>
      </c>
      <c r="B168" s="1" t="n">
        <v>44235</v>
      </c>
      <c r="C168" s="1" t="n">
        <v>45292</v>
      </c>
      <c r="D168" t="inlineStr">
        <is>
          <t>VÄSTRA GÖTALANDS LÄN</t>
        </is>
      </c>
      <c r="E168" t="inlineStr">
        <is>
          <t>ALINGSÅS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7652-2021</t>
        </is>
      </c>
      <c r="B169" s="1" t="n">
        <v>44242</v>
      </c>
      <c r="C169" s="1" t="n">
        <v>45292</v>
      </c>
      <c r="D169" t="inlineStr">
        <is>
          <t>VÄSTRA GÖTALANDS LÄN</t>
        </is>
      </c>
      <c r="E169" t="inlineStr">
        <is>
          <t>ALINGSÅS</t>
        </is>
      </c>
      <c r="G169" t="n">
        <v>24.7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7991-2021</t>
        </is>
      </c>
      <c r="B170" s="1" t="n">
        <v>44243</v>
      </c>
      <c r="C170" s="1" t="n">
        <v>45292</v>
      </c>
      <c r="D170" t="inlineStr">
        <is>
          <t>VÄSTRA GÖTALANDS LÄN</t>
        </is>
      </c>
      <c r="E170" t="inlineStr">
        <is>
          <t>ALINGSÅS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8011-2021</t>
        </is>
      </c>
      <c r="B171" s="1" t="n">
        <v>44243</v>
      </c>
      <c r="C171" s="1" t="n">
        <v>45292</v>
      </c>
      <c r="D171" t="inlineStr">
        <is>
          <t>VÄSTRA GÖTALANDS LÄN</t>
        </is>
      </c>
      <c r="E171" t="inlineStr">
        <is>
          <t>ALINGSÅS</t>
        </is>
      </c>
      <c r="F171" t="inlineStr">
        <is>
          <t>Kyrkan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9452-2021</t>
        </is>
      </c>
      <c r="B172" s="1" t="n">
        <v>44251</v>
      </c>
      <c r="C172" s="1" t="n">
        <v>45292</v>
      </c>
      <c r="D172" t="inlineStr">
        <is>
          <t>VÄSTRA GÖTALANDS LÄN</t>
        </is>
      </c>
      <c r="E172" t="inlineStr">
        <is>
          <t>ALINGSÅS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9726-2021</t>
        </is>
      </c>
      <c r="B173" s="1" t="n">
        <v>44252</v>
      </c>
      <c r="C173" s="1" t="n">
        <v>45292</v>
      </c>
      <c r="D173" t="inlineStr">
        <is>
          <t>VÄSTRA GÖTALANDS LÄN</t>
        </is>
      </c>
      <c r="E173" t="inlineStr">
        <is>
          <t>ALINGSÅS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10689-2021</t>
        </is>
      </c>
      <c r="B174" s="1" t="n">
        <v>44258</v>
      </c>
      <c r="C174" s="1" t="n">
        <v>45292</v>
      </c>
      <c r="D174" t="inlineStr">
        <is>
          <t>VÄSTRA GÖTALANDS LÄN</t>
        </is>
      </c>
      <c r="E174" t="inlineStr">
        <is>
          <t>ALINGSÅS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11025-2021</t>
        </is>
      </c>
      <c r="B175" s="1" t="n">
        <v>44260</v>
      </c>
      <c r="C175" s="1" t="n">
        <v>45292</v>
      </c>
      <c r="D175" t="inlineStr">
        <is>
          <t>VÄSTRA GÖTALANDS LÄN</t>
        </is>
      </c>
      <c r="E175" t="inlineStr">
        <is>
          <t>ALINGSÅS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11399-2021</t>
        </is>
      </c>
      <c r="B176" s="1" t="n">
        <v>44263</v>
      </c>
      <c r="C176" s="1" t="n">
        <v>45292</v>
      </c>
      <c r="D176" t="inlineStr">
        <is>
          <t>VÄSTRA GÖTALANDS LÄN</t>
        </is>
      </c>
      <c r="E176" t="inlineStr">
        <is>
          <t>ALINGSÅS</t>
        </is>
      </c>
      <c r="G176" t="n">
        <v>6.7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11987-2021</t>
        </is>
      </c>
      <c r="B177" s="1" t="n">
        <v>44266</v>
      </c>
      <c r="C177" s="1" t="n">
        <v>45292</v>
      </c>
      <c r="D177" t="inlineStr">
        <is>
          <t>VÄSTRA GÖTALANDS LÄN</t>
        </is>
      </c>
      <c r="E177" t="inlineStr">
        <is>
          <t>ALINGSÅS</t>
        </is>
      </c>
      <c r="G177" t="n">
        <v>5.5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12910-2021</t>
        </is>
      </c>
      <c r="B178" s="1" t="n">
        <v>44271</v>
      </c>
      <c r="C178" s="1" t="n">
        <v>45292</v>
      </c>
      <c r="D178" t="inlineStr">
        <is>
          <t>VÄSTRA GÖTALANDS LÄN</t>
        </is>
      </c>
      <c r="E178" t="inlineStr">
        <is>
          <t>ALINGSÅS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17260-2021</t>
        </is>
      </c>
      <c r="B179" s="1" t="n">
        <v>44298</v>
      </c>
      <c r="C179" s="1" t="n">
        <v>45292</v>
      </c>
      <c r="D179" t="inlineStr">
        <is>
          <t>VÄSTRA GÖTALANDS LÄN</t>
        </is>
      </c>
      <c r="E179" t="inlineStr">
        <is>
          <t>ALINGSÅS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20448-2021</t>
        </is>
      </c>
      <c r="B180" s="1" t="n">
        <v>44315</v>
      </c>
      <c r="C180" s="1" t="n">
        <v>45292</v>
      </c>
      <c r="D180" t="inlineStr">
        <is>
          <t>VÄSTRA GÖTALANDS LÄN</t>
        </is>
      </c>
      <c r="E180" t="inlineStr">
        <is>
          <t>ALINGSÅS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23164-2021</t>
        </is>
      </c>
      <c r="B181" s="1" t="n">
        <v>44332</v>
      </c>
      <c r="C181" s="1" t="n">
        <v>45292</v>
      </c>
      <c r="D181" t="inlineStr">
        <is>
          <t>VÄSTRA GÖTALANDS LÄN</t>
        </is>
      </c>
      <c r="E181" t="inlineStr">
        <is>
          <t>ALINGSÅS</t>
        </is>
      </c>
      <c r="G181" t="n">
        <v>13.1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23273-2021</t>
        </is>
      </c>
      <c r="B182" s="1" t="n">
        <v>44333</v>
      </c>
      <c r="C182" s="1" t="n">
        <v>45292</v>
      </c>
      <c r="D182" t="inlineStr">
        <is>
          <t>VÄSTRA GÖTALANDS LÄN</t>
        </is>
      </c>
      <c r="E182" t="inlineStr">
        <is>
          <t>ALINGSÅS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23827-2021</t>
        </is>
      </c>
      <c r="B183" s="1" t="n">
        <v>44335</v>
      </c>
      <c r="C183" s="1" t="n">
        <v>45292</v>
      </c>
      <c r="D183" t="inlineStr">
        <is>
          <t>VÄSTRA GÖTALANDS LÄN</t>
        </is>
      </c>
      <c r="E183" t="inlineStr">
        <is>
          <t>ALINGSÅS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26636-2021</t>
        </is>
      </c>
      <c r="B184" s="1" t="n">
        <v>44348</v>
      </c>
      <c r="C184" s="1" t="n">
        <v>45292</v>
      </c>
      <c r="D184" t="inlineStr">
        <is>
          <t>VÄSTRA GÖTALANDS LÄN</t>
        </is>
      </c>
      <c r="E184" t="inlineStr">
        <is>
          <t>ALINGSÅS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28251-2021</t>
        </is>
      </c>
      <c r="B185" s="1" t="n">
        <v>44355</v>
      </c>
      <c r="C185" s="1" t="n">
        <v>45292</v>
      </c>
      <c r="D185" t="inlineStr">
        <is>
          <t>VÄSTRA GÖTALANDS LÄN</t>
        </is>
      </c>
      <c r="E185" t="inlineStr">
        <is>
          <t>ALINGSÅS</t>
        </is>
      </c>
      <c r="G185" t="n">
        <v>10.4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28717-2021</t>
        </is>
      </c>
      <c r="B186" s="1" t="n">
        <v>44357</v>
      </c>
      <c r="C186" s="1" t="n">
        <v>45292</v>
      </c>
      <c r="D186" t="inlineStr">
        <is>
          <t>VÄSTRA GÖTALANDS LÄN</t>
        </is>
      </c>
      <c r="E186" t="inlineStr">
        <is>
          <t>ALINGSÅS</t>
        </is>
      </c>
      <c r="G186" t="n">
        <v>12.5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29186-2021</t>
        </is>
      </c>
      <c r="B187" s="1" t="n">
        <v>44358</v>
      </c>
      <c r="C187" s="1" t="n">
        <v>45292</v>
      </c>
      <c r="D187" t="inlineStr">
        <is>
          <t>VÄSTRA GÖTALANDS LÄN</t>
        </is>
      </c>
      <c r="E187" t="inlineStr">
        <is>
          <t>ALINGSÅS</t>
        </is>
      </c>
      <c r="G187" t="n">
        <v>6.4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29824-2021</t>
        </is>
      </c>
      <c r="B188" s="1" t="n">
        <v>44362</v>
      </c>
      <c r="C188" s="1" t="n">
        <v>45292</v>
      </c>
      <c r="D188" t="inlineStr">
        <is>
          <t>VÄSTRA GÖTALANDS LÄN</t>
        </is>
      </c>
      <c r="E188" t="inlineStr">
        <is>
          <t>ALINGSÅS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32993-2021</t>
        </is>
      </c>
      <c r="B189" s="1" t="n">
        <v>44376</v>
      </c>
      <c r="C189" s="1" t="n">
        <v>45292</v>
      </c>
      <c r="D189" t="inlineStr">
        <is>
          <t>VÄSTRA GÖTALANDS LÄN</t>
        </is>
      </c>
      <c r="E189" t="inlineStr">
        <is>
          <t>ALINGSÅS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33764-2021</t>
        </is>
      </c>
      <c r="B190" s="1" t="n">
        <v>44378</v>
      </c>
      <c r="C190" s="1" t="n">
        <v>45292</v>
      </c>
      <c r="D190" t="inlineStr">
        <is>
          <t>VÄSTRA GÖTALANDS LÄN</t>
        </is>
      </c>
      <c r="E190" t="inlineStr">
        <is>
          <t>ALINGSÅS</t>
        </is>
      </c>
      <c r="G190" t="n">
        <v>4.4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33652-2021</t>
        </is>
      </c>
      <c r="B191" s="1" t="n">
        <v>44378</v>
      </c>
      <c r="C191" s="1" t="n">
        <v>45292</v>
      </c>
      <c r="D191" t="inlineStr">
        <is>
          <t>VÄSTRA GÖTALANDS LÄN</t>
        </is>
      </c>
      <c r="E191" t="inlineStr">
        <is>
          <t>ALINGSÅS</t>
        </is>
      </c>
      <c r="G191" t="n">
        <v>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33769-2021</t>
        </is>
      </c>
      <c r="B192" s="1" t="n">
        <v>44378</v>
      </c>
      <c r="C192" s="1" t="n">
        <v>45292</v>
      </c>
      <c r="D192" t="inlineStr">
        <is>
          <t>VÄSTRA GÖTALANDS LÄN</t>
        </is>
      </c>
      <c r="E192" t="inlineStr">
        <is>
          <t>ALINGSÅS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36106-2021</t>
        </is>
      </c>
      <c r="B193" s="1" t="n">
        <v>44389</v>
      </c>
      <c r="C193" s="1" t="n">
        <v>45292</v>
      </c>
      <c r="D193" t="inlineStr">
        <is>
          <t>VÄSTRA GÖTALANDS LÄN</t>
        </is>
      </c>
      <c r="E193" t="inlineStr">
        <is>
          <t>ALINGSÅS</t>
        </is>
      </c>
      <c r="F193" t="inlineStr">
        <is>
          <t>Allmännings- och besparingsskogar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36120-2021</t>
        </is>
      </c>
      <c r="B194" s="1" t="n">
        <v>44389</v>
      </c>
      <c r="C194" s="1" t="n">
        <v>45292</v>
      </c>
      <c r="D194" t="inlineStr">
        <is>
          <t>VÄSTRA GÖTALANDS LÄN</t>
        </is>
      </c>
      <c r="E194" t="inlineStr">
        <is>
          <t>ALINGSÅS</t>
        </is>
      </c>
      <c r="F194" t="inlineStr">
        <is>
          <t>Allmännings- och besparingsskogar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37425-2021</t>
        </is>
      </c>
      <c r="B195" s="1" t="n">
        <v>44398</v>
      </c>
      <c r="C195" s="1" t="n">
        <v>45292</v>
      </c>
      <c r="D195" t="inlineStr">
        <is>
          <t>VÄSTRA GÖTALANDS LÄN</t>
        </is>
      </c>
      <c r="E195" t="inlineStr">
        <is>
          <t>ALINGSÅS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39963-2021</t>
        </is>
      </c>
      <c r="B196" s="1" t="n">
        <v>44418</v>
      </c>
      <c r="C196" s="1" t="n">
        <v>45292</v>
      </c>
      <c r="D196" t="inlineStr">
        <is>
          <t>VÄSTRA GÖTALANDS LÄN</t>
        </is>
      </c>
      <c r="E196" t="inlineStr">
        <is>
          <t>ALINGSÅS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42451-2021</t>
        </is>
      </c>
      <c r="B197" s="1" t="n">
        <v>44427</v>
      </c>
      <c r="C197" s="1" t="n">
        <v>45292</v>
      </c>
      <c r="D197" t="inlineStr">
        <is>
          <t>VÄSTRA GÖTALANDS LÄN</t>
        </is>
      </c>
      <c r="E197" t="inlineStr">
        <is>
          <t>ALINGSÅS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43809-2021</t>
        </is>
      </c>
      <c r="B198" s="1" t="n">
        <v>44433</v>
      </c>
      <c r="C198" s="1" t="n">
        <v>45292</v>
      </c>
      <c r="D198" t="inlineStr">
        <is>
          <t>VÄSTRA GÖTALANDS LÄN</t>
        </is>
      </c>
      <c r="E198" t="inlineStr">
        <is>
          <t>ALINGSÅS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45328-2021</t>
        </is>
      </c>
      <c r="B199" s="1" t="n">
        <v>44439</v>
      </c>
      <c r="C199" s="1" t="n">
        <v>45292</v>
      </c>
      <c r="D199" t="inlineStr">
        <is>
          <t>VÄSTRA GÖTALANDS LÄN</t>
        </is>
      </c>
      <c r="E199" t="inlineStr">
        <is>
          <t>ALINGSÅS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46491-2021</t>
        </is>
      </c>
      <c r="B200" s="1" t="n">
        <v>44445</v>
      </c>
      <c r="C200" s="1" t="n">
        <v>45292</v>
      </c>
      <c r="D200" t="inlineStr">
        <is>
          <t>VÄSTRA GÖTALANDS LÄN</t>
        </is>
      </c>
      <c r="E200" t="inlineStr">
        <is>
          <t>ALINGSÅS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46883-2021</t>
        </is>
      </c>
      <c r="B201" s="1" t="n">
        <v>44446</v>
      </c>
      <c r="C201" s="1" t="n">
        <v>45292</v>
      </c>
      <c r="D201" t="inlineStr">
        <is>
          <t>VÄSTRA GÖTALANDS LÄN</t>
        </is>
      </c>
      <c r="E201" t="inlineStr">
        <is>
          <t>ALINGSÅS</t>
        </is>
      </c>
      <c r="G201" t="n">
        <v>6.3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47187-2021</t>
        </is>
      </c>
      <c r="B202" s="1" t="n">
        <v>44447</v>
      </c>
      <c r="C202" s="1" t="n">
        <v>45292</v>
      </c>
      <c r="D202" t="inlineStr">
        <is>
          <t>VÄSTRA GÖTALANDS LÄN</t>
        </is>
      </c>
      <c r="E202" t="inlineStr">
        <is>
          <t>ALINGSÅS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47781-2021</t>
        </is>
      </c>
      <c r="B203" s="1" t="n">
        <v>44448</v>
      </c>
      <c r="C203" s="1" t="n">
        <v>45292</v>
      </c>
      <c r="D203" t="inlineStr">
        <is>
          <t>VÄSTRA GÖTALANDS LÄN</t>
        </is>
      </c>
      <c r="E203" t="inlineStr">
        <is>
          <t>ALINGSÅS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50039-2021</t>
        </is>
      </c>
      <c r="B204" s="1" t="n">
        <v>44456</v>
      </c>
      <c r="C204" s="1" t="n">
        <v>45292</v>
      </c>
      <c r="D204" t="inlineStr">
        <is>
          <t>VÄSTRA GÖTALANDS LÄN</t>
        </is>
      </c>
      <c r="E204" t="inlineStr">
        <is>
          <t>ALINGSÅS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50448-2021</t>
        </is>
      </c>
      <c r="B205" s="1" t="n">
        <v>44459</v>
      </c>
      <c r="C205" s="1" t="n">
        <v>45292</v>
      </c>
      <c r="D205" t="inlineStr">
        <is>
          <t>VÄSTRA GÖTALANDS LÄN</t>
        </is>
      </c>
      <c r="E205" t="inlineStr">
        <is>
          <t>ALINGSÅS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51167-2021</t>
        </is>
      </c>
      <c r="B206" s="1" t="n">
        <v>44461</v>
      </c>
      <c r="C206" s="1" t="n">
        <v>45292</v>
      </c>
      <c r="D206" t="inlineStr">
        <is>
          <t>VÄSTRA GÖTALANDS LÄN</t>
        </is>
      </c>
      <c r="E206" t="inlineStr">
        <is>
          <t>ALINGSÅS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51169-2021</t>
        </is>
      </c>
      <c r="B207" s="1" t="n">
        <v>44461</v>
      </c>
      <c r="C207" s="1" t="n">
        <v>45292</v>
      </c>
      <c r="D207" t="inlineStr">
        <is>
          <t>VÄSTRA GÖTALANDS LÄN</t>
        </is>
      </c>
      <c r="E207" t="inlineStr">
        <is>
          <t>ALINGSÅS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53887-2021</t>
        </is>
      </c>
      <c r="B208" s="1" t="n">
        <v>44469</v>
      </c>
      <c r="C208" s="1" t="n">
        <v>45292</v>
      </c>
      <c r="D208" t="inlineStr">
        <is>
          <t>VÄSTRA GÖTALANDS LÄN</t>
        </is>
      </c>
      <c r="E208" t="inlineStr">
        <is>
          <t>ALINGSÅS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57347-2021</t>
        </is>
      </c>
      <c r="B209" s="1" t="n">
        <v>44483</v>
      </c>
      <c r="C209" s="1" t="n">
        <v>45292</v>
      </c>
      <c r="D209" t="inlineStr">
        <is>
          <t>VÄSTRA GÖTALANDS LÄN</t>
        </is>
      </c>
      <c r="E209" t="inlineStr">
        <is>
          <t>ALINGSÅS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58558-2021</t>
        </is>
      </c>
      <c r="B210" s="1" t="n">
        <v>44488</v>
      </c>
      <c r="C210" s="1" t="n">
        <v>45292</v>
      </c>
      <c r="D210" t="inlineStr">
        <is>
          <t>VÄSTRA GÖTALANDS LÄN</t>
        </is>
      </c>
      <c r="E210" t="inlineStr">
        <is>
          <t>ALINGSÅS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60657-2021</t>
        </is>
      </c>
      <c r="B211" s="1" t="n">
        <v>44496</v>
      </c>
      <c r="C211" s="1" t="n">
        <v>45292</v>
      </c>
      <c r="D211" t="inlineStr">
        <is>
          <t>VÄSTRA GÖTALANDS LÄN</t>
        </is>
      </c>
      <c r="E211" t="inlineStr">
        <is>
          <t>ALINGSÅS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63143-2021</t>
        </is>
      </c>
      <c r="B212" s="1" t="n">
        <v>44505</v>
      </c>
      <c r="C212" s="1" t="n">
        <v>45292</v>
      </c>
      <c r="D212" t="inlineStr">
        <is>
          <t>VÄSTRA GÖTALANDS LÄN</t>
        </is>
      </c>
      <c r="E212" t="inlineStr">
        <is>
          <t>ALINGSÅS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64211-2021</t>
        </is>
      </c>
      <c r="B213" s="1" t="n">
        <v>44510</v>
      </c>
      <c r="C213" s="1" t="n">
        <v>45292</v>
      </c>
      <c r="D213" t="inlineStr">
        <is>
          <t>VÄSTRA GÖTALANDS LÄN</t>
        </is>
      </c>
      <c r="E213" t="inlineStr">
        <is>
          <t>ALINGSÅS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65210-2021</t>
        </is>
      </c>
      <c r="B214" s="1" t="n">
        <v>44515</v>
      </c>
      <c r="C214" s="1" t="n">
        <v>45292</v>
      </c>
      <c r="D214" t="inlineStr">
        <is>
          <t>VÄSTRA GÖTALANDS LÄN</t>
        </is>
      </c>
      <c r="E214" t="inlineStr">
        <is>
          <t>ALINGSÅS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65571-2021</t>
        </is>
      </c>
      <c r="B215" s="1" t="n">
        <v>44516</v>
      </c>
      <c r="C215" s="1" t="n">
        <v>45292</v>
      </c>
      <c r="D215" t="inlineStr">
        <is>
          <t>VÄSTRA GÖTALANDS LÄN</t>
        </is>
      </c>
      <c r="E215" t="inlineStr">
        <is>
          <t>ALINGSÅS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65624-2021</t>
        </is>
      </c>
      <c r="B216" s="1" t="n">
        <v>44516</v>
      </c>
      <c r="C216" s="1" t="n">
        <v>45292</v>
      </c>
      <c r="D216" t="inlineStr">
        <is>
          <t>VÄSTRA GÖTALANDS LÄN</t>
        </is>
      </c>
      <c r="E216" t="inlineStr">
        <is>
          <t>ALINGSÅS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68899-2021</t>
        </is>
      </c>
      <c r="B217" s="1" t="n">
        <v>44530</v>
      </c>
      <c r="C217" s="1" t="n">
        <v>45292</v>
      </c>
      <c r="D217" t="inlineStr">
        <is>
          <t>VÄSTRA GÖTALANDS LÄN</t>
        </is>
      </c>
      <c r="E217" t="inlineStr">
        <is>
          <t>ALINGSÅS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70426-2021</t>
        </is>
      </c>
      <c r="B218" s="1" t="n">
        <v>44536</v>
      </c>
      <c r="C218" s="1" t="n">
        <v>45292</v>
      </c>
      <c r="D218" t="inlineStr">
        <is>
          <t>VÄSTRA GÖTALANDS LÄN</t>
        </is>
      </c>
      <c r="E218" t="inlineStr">
        <is>
          <t>ALINGSÅS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73187-2021</t>
        </is>
      </c>
      <c r="B219" s="1" t="n">
        <v>44550</v>
      </c>
      <c r="C219" s="1" t="n">
        <v>45292</v>
      </c>
      <c r="D219" t="inlineStr">
        <is>
          <t>VÄSTRA GÖTALANDS LÄN</t>
        </is>
      </c>
      <c r="E219" t="inlineStr">
        <is>
          <t>ALINGSÅS</t>
        </is>
      </c>
      <c r="G219" t="n">
        <v>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981-2022</t>
        </is>
      </c>
      <c r="B220" s="1" t="n">
        <v>44568</v>
      </c>
      <c r="C220" s="1" t="n">
        <v>45292</v>
      </c>
      <c r="D220" t="inlineStr">
        <is>
          <t>VÄSTRA GÖTALANDS LÄN</t>
        </is>
      </c>
      <c r="E220" t="inlineStr">
        <is>
          <t>ALINGSÅS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1231-2022</t>
        </is>
      </c>
      <c r="B221" s="1" t="n">
        <v>44572</v>
      </c>
      <c r="C221" s="1" t="n">
        <v>45292</v>
      </c>
      <c r="D221" t="inlineStr">
        <is>
          <t>VÄSTRA GÖTALANDS LÄN</t>
        </is>
      </c>
      <c r="E221" t="inlineStr">
        <is>
          <t>ALINGSÅS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1105-2022</t>
        </is>
      </c>
      <c r="B222" s="1" t="n">
        <v>44572</v>
      </c>
      <c r="C222" s="1" t="n">
        <v>45292</v>
      </c>
      <c r="D222" t="inlineStr">
        <is>
          <t>VÄSTRA GÖTALANDS LÄN</t>
        </is>
      </c>
      <c r="E222" t="inlineStr">
        <is>
          <t>ALINGSÅS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1106-2022</t>
        </is>
      </c>
      <c r="B223" s="1" t="n">
        <v>44572</v>
      </c>
      <c r="C223" s="1" t="n">
        <v>45292</v>
      </c>
      <c r="D223" t="inlineStr">
        <is>
          <t>VÄSTRA GÖTALANDS LÄN</t>
        </is>
      </c>
      <c r="E223" t="inlineStr">
        <is>
          <t>ALINGSÅS</t>
        </is>
      </c>
      <c r="G223" t="n">
        <v>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3172-2022</t>
        </is>
      </c>
      <c r="B224" s="1" t="n">
        <v>44582</v>
      </c>
      <c r="C224" s="1" t="n">
        <v>45292</v>
      </c>
      <c r="D224" t="inlineStr">
        <is>
          <t>VÄSTRA GÖTALANDS LÄN</t>
        </is>
      </c>
      <c r="E224" t="inlineStr">
        <is>
          <t>ALINGSÅS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3045-2022</t>
        </is>
      </c>
      <c r="B225" s="1" t="n">
        <v>44582</v>
      </c>
      <c r="C225" s="1" t="n">
        <v>45292</v>
      </c>
      <c r="D225" t="inlineStr">
        <is>
          <t>VÄSTRA GÖTALANDS LÄN</t>
        </is>
      </c>
      <c r="E225" t="inlineStr">
        <is>
          <t>ALINGSÅS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5757-2022</t>
        </is>
      </c>
      <c r="B226" s="1" t="n">
        <v>44596</v>
      </c>
      <c r="C226" s="1" t="n">
        <v>45292</v>
      </c>
      <c r="D226" t="inlineStr">
        <is>
          <t>VÄSTRA GÖTALANDS LÄN</t>
        </is>
      </c>
      <c r="E226" t="inlineStr">
        <is>
          <t>ALINGSÅS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7030-2022</t>
        </is>
      </c>
      <c r="B227" s="1" t="n">
        <v>44603</v>
      </c>
      <c r="C227" s="1" t="n">
        <v>45292</v>
      </c>
      <c r="D227" t="inlineStr">
        <is>
          <t>VÄSTRA GÖTALANDS LÄN</t>
        </is>
      </c>
      <c r="E227" t="inlineStr">
        <is>
          <t>ALINGSÅS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8780-2022</t>
        </is>
      </c>
      <c r="B228" s="1" t="n">
        <v>44614</v>
      </c>
      <c r="C228" s="1" t="n">
        <v>45292</v>
      </c>
      <c r="D228" t="inlineStr">
        <is>
          <t>VÄSTRA GÖTALANDS LÄN</t>
        </is>
      </c>
      <c r="E228" t="inlineStr">
        <is>
          <t>ALINGSÅS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8777-2022</t>
        </is>
      </c>
      <c r="B229" s="1" t="n">
        <v>44614</v>
      </c>
      <c r="C229" s="1" t="n">
        <v>45292</v>
      </c>
      <c r="D229" t="inlineStr">
        <is>
          <t>VÄSTRA GÖTALANDS LÄN</t>
        </is>
      </c>
      <c r="E229" t="inlineStr">
        <is>
          <t>ALINGSÅS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9181-2022</t>
        </is>
      </c>
      <c r="B230" s="1" t="n">
        <v>44615</v>
      </c>
      <c r="C230" s="1" t="n">
        <v>45292</v>
      </c>
      <c r="D230" t="inlineStr">
        <is>
          <t>VÄSTRA GÖTALANDS LÄN</t>
        </is>
      </c>
      <c r="E230" t="inlineStr">
        <is>
          <t>ALINGSÅS</t>
        </is>
      </c>
      <c r="G230" t="n">
        <v>5.5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10017-2022</t>
        </is>
      </c>
      <c r="B231" s="1" t="n">
        <v>44621</v>
      </c>
      <c r="C231" s="1" t="n">
        <v>45292</v>
      </c>
      <c r="D231" t="inlineStr">
        <is>
          <t>VÄSTRA GÖTALANDS LÄN</t>
        </is>
      </c>
      <c r="E231" t="inlineStr">
        <is>
          <t>ALINGSÅS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10999-2022</t>
        </is>
      </c>
      <c r="B232" s="1" t="n">
        <v>44628</v>
      </c>
      <c r="C232" s="1" t="n">
        <v>45292</v>
      </c>
      <c r="D232" t="inlineStr">
        <is>
          <t>VÄSTRA GÖTALANDS LÄN</t>
        </is>
      </c>
      <c r="E232" t="inlineStr">
        <is>
          <t>ALINGSÅS</t>
        </is>
      </c>
      <c r="G232" t="n">
        <v>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11539-2022</t>
        </is>
      </c>
      <c r="B233" s="1" t="n">
        <v>44631</v>
      </c>
      <c r="C233" s="1" t="n">
        <v>45292</v>
      </c>
      <c r="D233" t="inlineStr">
        <is>
          <t>VÄSTRA GÖTALANDS LÄN</t>
        </is>
      </c>
      <c r="E233" t="inlineStr">
        <is>
          <t>ALINGSÅS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11536-2022</t>
        </is>
      </c>
      <c r="B234" s="1" t="n">
        <v>44631</v>
      </c>
      <c r="C234" s="1" t="n">
        <v>45292</v>
      </c>
      <c r="D234" t="inlineStr">
        <is>
          <t>VÄSTRA GÖTALANDS LÄN</t>
        </is>
      </c>
      <c r="E234" t="inlineStr">
        <is>
          <t>ALINGSÅS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12313-2022</t>
        </is>
      </c>
      <c r="B235" s="1" t="n">
        <v>44637</v>
      </c>
      <c r="C235" s="1" t="n">
        <v>45292</v>
      </c>
      <c r="D235" t="inlineStr">
        <is>
          <t>VÄSTRA GÖTALANDS LÄN</t>
        </is>
      </c>
      <c r="E235" t="inlineStr">
        <is>
          <t>ALINGSÅS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12318-2022</t>
        </is>
      </c>
      <c r="B236" s="1" t="n">
        <v>44637</v>
      </c>
      <c r="C236" s="1" t="n">
        <v>45292</v>
      </c>
      <c r="D236" t="inlineStr">
        <is>
          <t>VÄSTRA GÖTALANDS LÄN</t>
        </is>
      </c>
      <c r="E236" t="inlineStr">
        <is>
          <t>ALINGSÅS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12884-2022</t>
        </is>
      </c>
      <c r="B237" s="1" t="n">
        <v>44642</v>
      </c>
      <c r="C237" s="1" t="n">
        <v>45292</v>
      </c>
      <c r="D237" t="inlineStr">
        <is>
          <t>VÄSTRA GÖTALANDS LÄN</t>
        </is>
      </c>
      <c r="E237" t="inlineStr">
        <is>
          <t>ALINGSÅS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14327-2022</t>
        </is>
      </c>
      <c r="B238" s="1" t="n">
        <v>44652</v>
      </c>
      <c r="C238" s="1" t="n">
        <v>45292</v>
      </c>
      <c r="D238" t="inlineStr">
        <is>
          <t>VÄSTRA GÖTALANDS LÄN</t>
        </is>
      </c>
      <c r="E238" t="inlineStr">
        <is>
          <t>ALINGSÅS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14359-2022</t>
        </is>
      </c>
      <c r="B239" s="1" t="n">
        <v>44652</v>
      </c>
      <c r="C239" s="1" t="n">
        <v>45292</v>
      </c>
      <c r="D239" t="inlineStr">
        <is>
          <t>VÄSTRA GÖTALANDS LÄN</t>
        </is>
      </c>
      <c r="E239" t="inlineStr">
        <is>
          <t>ALINGSÅS</t>
        </is>
      </c>
      <c r="G239" t="n">
        <v>0.1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14363-2022</t>
        </is>
      </c>
      <c r="B240" s="1" t="n">
        <v>44652</v>
      </c>
      <c r="C240" s="1" t="n">
        <v>45292</v>
      </c>
      <c r="D240" t="inlineStr">
        <is>
          <t>VÄSTRA GÖTALANDS LÄN</t>
        </is>
      </c>
      <c r="E240" t="inlineStr">
        <is>
          <t>ALINGSÅS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16609-2022</t>
        </is>
      </c>
      <c r="B241" s="1" t="n">
        <v>44672</v>
      </c>
      <c r="C241" s="1" t="n">
        <v>45292</v>
      </c>
      <c r="D241" t="inlineStr">
        <is>
          <t>VÄSTRA GÖTALANDS LÄN</t>
        </is>
      </c>
      <c r="E241" t="inlineStr">
        <is>
          <t>ALINGSÅS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16612-2022</t>
        </is>
      </c>
      <c r="B242" s="1" t="n">
        <v>44672</v>
      </c>
      <c r="C242" s="1" t="n">
        <v>45292</v>
      </c>
      <c r="D242" t="inlineStr">
        <is>
          <t>VÄSTRA GÖTALANDS LÄN</t>
        </is>
      </c>
      <c r="E242" t="inlineStr">
        <is>
          <t>ALINGSÅS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19738-2022</t>
        </is>
      </c>
      <c r="B243" s="1" t="n">
        <v>44694</v>
      </c>
      <c r="C243" s="1" t="n">
        <v>45292</v>
      </c>
      <c r="D243" t="inlineStr">
        <is>
          <t>VÄSTRA GÖTALANDS LÄN</t>
        </is>
      </c>
      <c r="E243" t="inlineStr">
        <is>
          <t>ALINGSÅS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20053-2022</t>
        </is>
      </c>
      <c r="B244" s="1" t="n">
        <v>44697</v>
      </c>
      <c r="C244" s="1" t="n">
        <v>45292</v>
      </c>
      <c r="D244" t="inlineStr">
        <is>
          <t>VÄSTRA GÖTALANDS LÄN</t>
        </is>
      </c>
      <c r="E244" t="inlineStr">
        <is>
          <t>ALINGSÅS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21727-2022</t>
        </is>
      </c>
      <c r="B245" s="1" t="n">
        <v>44708</v>
      </c>
      <c r="C245" s="1" t="n">
        <v>45292</v>
      </c>
      <c r="D245" t="inlineStr">
        <is>
          <t>VÄSTRA GÖTALANDS LÄN</t>
        </is>
      </c>
      <c r="E245" t="inlineStr">
        <is>
          <t>ALINGSÅS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21732-2022</t>
        </is>
      </c>
      <c r="B246" s="1" t="n">
        <v>44708</v>
      </c>
      <c r="C246" s="1" t="n">
        <v>45292</v>
      </c>
      <c r="D246" t="inlineStr">
        <is>
          <t>VÄSTRA GÖTALANDS LÄN</t>
        </is>
      </c>
      <c r="E246" t="inlineStr">
        <is>
          <t>ALINGSÅS</t>
        </is>
      </c>
      <c r="G246" t="n">
        <v>7.7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23129-2022</t>
        </is>
      </c>
      <c r="B247" s="1" t="n">
        <v>44719</v>
      </c>
      <c r="C247" s="1" t="n">
        <v>45292</v>
      </c>
      <c r="D247" t="inlineStr">
        <is>
          <t>VÄSTRA GÖTALANDS LÄN</t>
        </is>
      </c>
      <c r="E247" t="inlineStr">
        <is>
          <t>ALINGSÅS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23559-2022</t>
        </is>
      </c>
      <c r="B248" s="1" t="n">
        <v>44721</v>
      </c>
      <c r="C248" s="1" t="n">
        <v>45292</v>
      </c>
      <c r="D248" t="inlineStr">
        <is>
          <t>VÄSTRA GÖTALANDS LÄN</t>
        </is>
      </c>
      <c r="E248" t="inlineStr">
        <is>
          <t>ALINGSÅS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24464-2022</t>
        </is>
      </c>
      <c r="B249" s="1" t="n">
        <v>44726</v>
      </c>
      <c r="C249" s="1" t="n">
        <v>45292</v>
      </c>
      <c r="D249" t="inlineStr">
        <is>
          <t>VÄSTRA GÖTALANDS LÄN</t>
        </is>
      </c>
      <c r="E249" t="inlineStr">
        <is>
          <t>ALINGSÅS</t>
        </is>
      </c>
      <c r="G249" t="n">
        <v>8.800000000000001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24483-2022</t>
        </is>
      </c>
      <c r="B250" s="1" t="n">
        <v>44726</v>
      </c>
      <c r="C250" s="1" t="n">
        <v>45292</v>
      </c>
      <c r="D250" t="inlineStr">
        <is>
          <t>VÄSTRA GÖTALANDS LÄN</t>
        </is>
      </c>
      <c r="E250" t="inlineStr">
        <is>
          <t>ALINGSÅS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24579-2022</t>
        </is>
      </c>
      <c r="B251" s="1" t="n">
        <v>44727</v>
      </c>
      <c r="C251" s="1" t="n">
        <v>45292</v>
      </c>
      <c r="D251" t="inlineStr">
        <is>
          <t>VÄSTRA GÖTALANDS LÄN</t>
        </is>
      </c>
      <c r="E251" t="inlineStr">
        <is>
          <t>ALINGSÅS</t>
        </is>
      </c>
      <c r="G251" t="n">
        <v>10.4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24607-2022</t>
        </is>
      </c>
      <c r="B252" s="1" t="n">
        <v>44727</v>
      </c>
      <c r="C252" s="1" t="n">
        <v>45292</v>
      </c>
      <c r="D252" t="inlineStr">
        <is>
          <t>VÄSTRA GÖTALANDS LÄN</t>
        </is>
      </c>
      <c r="E252" t="inlineStr">
        <is>
          <t>ALINGSÅS</t>
        </is>
      </c>
      <c r="G252" t="n">
        <v>9.5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25141-2022</t>
        </is>
      </c>
      <c r="B253" s="1" t="n">
        <v>44729</v>
      </c>
      <c r="C253" s="1" t="n">
        <v>45292</v>
      </c>
      <c r="D253" t="inlineStr">
        <is>
          <t>VÄSTRA GÖTALANDS LÄN</t>
        </is>
      </c>
      <c r="E253" t="inlineStr">
        <is>
          <t>ALINGSÅS</t>
        </is>
      </c>
      <c r="G253" t="n">
        <v>7.7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26891-2022</t>
        </is>
      </c>
      <c r="B254" s="1" t="n">
        <v>44740</v>
      </c>
      <c r="C254" s="1" t="n">
        <v>45292</v>
      </c>
      <c r="D254" t="inlineStr">
        <is>
          <t>VÄSTRA GÖTALANDS LÄN</t>
        </is>
      </c>
      <c r="E254" t="inlineStr">
        <is>
          <t>ALINGSÅS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29559-2022</t>
        </is>
      </c>
      <c r="B255" s="1" t="n">
        <v>44754</v>
      </c>
      <c r="C255" s="1" t="n">
        <v>45292</v>
      </c>
      <c r="D255" t="inlineStr">
        <is>
          <t>VÄSTRA GÖTALANDS LÄN</t>
        </is>
      </c>
      <c r="E255" t="inlineStr">
        <is>
          <t>ALINGSÅS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31303-2022</t>
        </is>
      </c>
      <c r="B256" s="1" t="n">
        <v>44773</v>
      </c>
      <c r="C256" s="1" t="n">
        <v>45292</v>
      </c>
      <c r="D256" t="inlineStr">
        <is>
          <t>VÄSTRA GÖTALANDS LÄN</t>
        </is>
      </c>
      <c r="E256" t="inlineStr">
        <is>
          <t>ALINGSÅS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34684-2022</t>
        </is>
      </c>
      <c r="B257" s="1" t="n">
        <v>44795</v>
      </c>
      <c r="C257" s="1" t="n">
        <v>45292</v>
      </c>
      <c r="D257" t="inlineStr">
        <is>
          <t>VÄSTRA GÖTALANDS LÄN</t>
        </is>
      </c>
      <c r="E257" t="inlineStr">
        <is>
          <t>ALINGSÅS</t>
        </is>
      </c>
      <c r="G257" t="n">
        <v>0.1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34689-2022</t>
        </is>
      </c>
      <c r="B258" s="1" t="n">
        <v>44795</v>
      </c>
      <c r="C258" s="1" t="n">
        <v>45292</v>
      </c>
      <c r="D258" t="inlineStr">
        <is>
          <t>VÄSTRA GÖTALANDS LÄN</t>
        </is>
      </c>
      <c r="E258" t="inlineStr">
        <is>
          <t>ALINGSÅS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36787-2022</t>
        </is>
      </c>
      <c r="B259" s="1" t="n">
        <v>44805</v>
      </c>
      <c r="C259" s="1" t="n">
        <v>45292</v>
      </c>
      <c r="D259" t="inlineStr">
        <is>
          <t>VÄSTRA GÖTALANDS LÄN</t>
        </is>
      </c>
      <c r="E259" t="inlineStr">
        <is>
          <t>ALINGSÅS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36765-2022</t>
        </is>
      </c>
      <c r="B260" s="1" t="n">
        <v>44805</v>
      </c>
      <c r="C260" s="1" t="n">
        <v>45292</v>
      </c>
      <c r="D260" t="inlineStr">
        <is>
          <t>VÄSTRA GÖTALANDS LÄN</t>
        </is>
      </c>
      <c r="E260" t="inlineStr">
        <is>
          <t>ALINGSÅS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37509-2022</t>
        </is>
      </c>
      <c r="B261" s="1" t="n">
        <v>44809</v>
      </c>
      <c r="C261" s="1" t="n">
        <v>45292</v>
      </c>
      <c r="D261" t="inlineStr">
        <is>
          <t>VÄSTRA GÖTALANDS LÄN</t>
        </is>
      </c>
      <c r="E261" t="inlineStr">
        <is>
          <t>ALINGSÅS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37512-2022</t>
        </is>
      </c>
      <c r="B262" s="1" t="n">
        <v>44809</v>
      </c>
      <c r="C262" s="1" t="n">
        <v>45292</v>
      </c>
      <c r="D262" t="inlineStr">
        <is>
          <t>VÄSTRA GÖTALANDS LÄN</t>
        </is>
      </c>
      <c r="E262" t="inlineStr">
        <is>
          <t>ALINGSÅS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38955-2022</t>
        </is>
      </c>
      <c r="B263" s="1" t="n">
        <v>44816</v>
      </c>
      <c r="C263" s="1" t="n">
        <v>45292</v>
      </c>
      <c r="D263" t="inlineStr">
        <is>
          <t>VÄSTRA GÖTALANDS LÄN</t>
        </is>
      </c>
      <c r="E263" t="inlineStr">
        <is>
          <t>ALINGSÅS</t>
        </is>
      </c>
      <c r="G263" t="n">
        <v>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39299-2022</t>
        </is>
      </c>
      <c r="B264" s="1" t="n">
        <v>44817</v>
      </c>
      <c r="C264" s="1" t="n">
        <v>45292</v>
      </c>
      <c r="D264" t="inlineStr">
        <is>
          <t>VÄSTRA GÖTALANDS LÄN</t>
        </is>
      </c>
      <c r="E264" t="inlineStr">
        <is>
          <t>ALINGSÅS</t>
        </is>
      </c>
      <c r="G264" t="n">
        <v>5.6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40293-2022</t>
        </is>
      </c>
      <c r="B265" s="1" t="n">
        <v>44821</v>
      </c>
      <c r="C265" s="1" t="n">
        <v>45292</v>
      </c>
      <c r="D265" t="inlineStr">
        <is>
          <t>VÄSTRA GÖTALANDS LÄN</t>
        </is>
      </c>
      <c r="E265" t="inlineStr">
        <is>
          <t>ALINGSÅS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41370-2022</t>
        </is>
      </c>
      <c r="B266" s="1" t="n">
        <v>44826</v>
      </c>
      <c r="C266" s="1" t="n">
        <v>45292</v>
      </c>
      <c r="D266" t="inlineStr">
        <is>
          <t>VÄSTRA GÖTALANDS LÄN</t>
        </is>
      </c>
      <c r="E266" t="inlineStr">
        <is>
          <t>ALINGSÅS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41372-2022</t>
        </is>
      </c>
      <c r="B267" s="1" t="n">
        <v>44826</v>
      </c>
      <c r="C267" s="1" t="n">
        <v>45292</v>
      </c>
      <c r="D267" t="inlineStr">
        <is>
          <t>VÄSTRA GÖTALANDS LÄN</t>
        </is>
      </c>
      <c r="E267" t="inlineStr">
        <is>
          <t>ALINGSÅS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41912-2022</t>
        </is>
      </c>
      <c r="B268" s="1" t="n">
        <v>44830</v>
      </c>
      <c r="C268" s="1" t="n">
        <v>45292</v>
      </c>
      <c r="D268" t="inlineStr">
        <is>
          <t>VÄSTRA GÖTALANDS LÄN</t>
        </is>
      </c>
      <c r="E268" t="inlineStr">
        <is>
          <t>ALINGSÅS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42620-2022</t>
        </is>
      </c>
      <c r="B269" s="1" t="n">
        <v>44831</v>
      </c>
      <c r="C269" s="1" t="n">
        <v>45292</v>
      </c>
      <c r="D269" t="inlineStr">
        <is>
          <t>VÄSTRA GÖTALANDS LÄN</t>
        </is>
      </c>
      <c r="E269" t="inlineStr">
        <is>
          <t>ALINGSÅS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42619-2022</t>
        </is>
      </c>
      <c r="B270" s="1" t="n">
        <v>44831</v>
      </c>
      <c r="C270" s="1" t="n">
        <v>45292</v>
      </c>
      <c r="D270" t="inlineStr">
        <is>
          <t>VÄSTRA GÖTALANDS LÄN</t>
        </is>
      </c>
      <c r="E270" t="inlineStr">
        <is>
          <t>ALINGSÅS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42531-2022</t>
        </is>
      </c>
      <c r="B271" s="1" t="n">
        <v>44831</v>
      </c>
      <c r="C271" s="1" t="n">
        <v>45292</v>
      </c>
      <c r="D271" t="inlineStr">
        <is>
          <t>VÄSTRA GÖTALANDS LÄN</t>
        </is>
      </c>
      <c r="E271" t="inlineStr">
        <is>
          <t>ALINGSÅS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42865-2022</t>
        </is>
      </c>
      <c r="B272" s="1" t="n">
        <v>44832</v>
      </c>
      <c r="C272" s="1" t="n">
        <v>45292</v>
      </c>
      <c r="D272" t="inlineStr">
        <is>
          <t>VÄSTRA GÖTALANDS LÄN</t>
        </is>
      </c>
      <c r="E272" t="inlineStr">
        <is>
          <t>ALINGSÅS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46407-2022</t>
        </is>
      </c>
      <c r="B273" s="1" t="n">
        <v>44848</v>
      </c>
      <c r="C273" s="1" t="n">
        <v>45292</v>
      </c>
      <c r="D273" t="inlineStr">
        <is>
          <t>VÄSTRA GÖTALANDS LÄN</t>
        </is>
      </c>
      <c r="E273" t="inlineStr">
        <is>
          <t>ALINGSÅS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47234-2022</t>
        </is>
      </c>
      <c r="B274" s="1" t="n">
        <v>44852</v>
      </c>
      <c r="C274" s="1" t="n">
        <v>45292</v>
      </c>
      <c r="D274" t="inlineStr">
        <is>
          <t>VÄSTRA GÖTALANDS LÄN</t>
        </is>
      </c>
      <c r="E274" t="inlineStr">
        <is>
          <t>ALINGSÅS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47238-2022</t>
        </is>
      </c>
      <c r="B275" s="1" t="n">
        <v>44852</v>
      </c>
      <c r="C275" s="1" t="n">
        <v>45292</v>
      </c>
      <c r="D275" t="inlineStr">
        <is>
          <t>VÄSTRA GÖTALANDS LÄN</t>
        </is>
      </c>
      <c r="E275" t="inlineStr">
        <is>
          <t>ALINGSÅS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47233-2022</t>
        </is>
      </c>
      <c r="B276" s="1" t="n">
        <v>44852</v>
      </c>
      <c r="C276" s="1" t="n">
        <v>45292</v>
      </c>
      <c r="D276" t="inlineStr">
        <is>
          <t>VÄSTRA GÖTALANDS LÄN</t>
        </is>
      </c>
      <c r="E276" t="inlineStr">
        <is>
          <t>ALINGSÅS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47960-2022</t>
        </is>
      </c>
      <c r="B277" s="1" t="n">
        <v>44855</v>
      </c>
      <c r="C277" s="1" t="n">
        <v>45292</v>
      </c>
      <c r="D277" t="inlineStr">
        <is>
          <t>VÄSTRA GÖTALANDS LÄN</t>
        </is>
      </c>
      <c r="E277" t="inlineStr">
        <is>
          <t>ALINGSÅS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49420-2022</t>
        </is>
      </c>
      <c r="B278" s="1" t="n">
        <v>44861</v>
      </c>
      <c r="C278" s="1" t="n">
        <v>45292</v>
      </c>
      <c r="D278" t="inlineStr">
        <is>
          <t>VÄSTRA GÖTALANDS LÄN</t>
        </is>
      </c>
      <c r="E278" t="inlineStr">
        <is>
          <t>ALINGSÅS</t>
        </is>
      </c>
      <c r="G278" t="n">
        <v>5.9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49879-2022</t>
        </is>
      </c>
      <c r="B279" s="1" t="n">
        <v>44864</v>
      </c>
      <c r="C279" s="1" t="n">
        <v>45292</v>
      </c>
      <c r="D279" t="inlineStr">
        <is>
          <t>VÄSTRA GÖTALANDS LÄN</t>
        </is>
      </c>
      <c r="E279" t="inlineStr">
        <is>
          <t>ALINGSÅS</t>
        </is>
      </c>
      <c r="G279" t="n">
        <v>8.199999999999999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51221-2022</t>
        </is>
      </c>
      <c r="B280" s="1" t="n">
        <v>44868</v>
      </c>
      <c r="C280" s="1" t="n">
        <v>45292</v>
      </c>
      <c r="D280" t="inlineStr">
        <is>
          <t>VÄSTRA GÖTALANDS LÄN</t>
        </is>
      </c>
      <c r="E280" t="inlineStr">
        <is>
          <t>ALINGSÅS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57491-2022</t>
        </is>
      </c>
      <c r="B281" s="1" t="n">
        <v>44896</v>
      </c>
      <c r="C281" s="1" t="n">
        <v>45292</v>
      </c>
      <c r="D281" t="inlineStr">
        <is>
          <t>VÄSTRA GÖTALANDS LÄN</t>
        </is>
      </c>
      <c r="E281" t="inlineStr">
        <is>
          <t>ALINGSÅS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57489-2022</t>
        </is>
      </c>
      <c r="B282" s="1" t="n">
        <v>44896</v>
      </c>
      <c r="C282" s="1" t="n">
        <v>45292</v>
      </c>
      <c r="D282" t="inlineStr">
        <is>
          <t>VÄSTRA GÖTALANDS LÄN</t>
        </is>
      </c>
      <c r="E282" t="inlineStr">
        <is>
          <t>ALINGSÅS</t>
        </is>
      </c>
      <c r="G282" t="n">
        <v>10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58932-2022</t>
        </is>
      </c>
      <c r="B283" s="1" t="n">
        <v>44896</v>
      </c>
      <c r="C283" s="1" t="n">
        <v>45292</v>
      </c>
      <c r="D283" t="inlineStr">
        <is>
          <t>VÄSTRA GÖTALANDS LÄN</t>
        </is>
      </c>
      <c r="E283" t="inlineStr">
        <is>
          <t>ALINGSÅS</t>
        </is>
      </c>
      <c r="F283" t="inlineStr">
        <is>
          <t>Allmännings- och besparingsskogar</t>
        </is>
      </c>
      <c r="G283" t="n">
        <v>8.300000000000001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58986-2022</t>
        </is>
      </c>
      <c r="B284" s="1" t="n">
        <v>44903</v>
      </c>
      <c r="C284" s="1" t="n">
        <v>45292</v>
      </c>
      <c r="D284" t="inlineStr">
        <is>
          <t>VÄSTRA GÖTALANDS LÄN</t>
        </is>
      </c>
      <c r="E284" t="inlineStr">
        <is>
          <t>ALINGSÅS</t>
        </is>
      </c>
      <c r="F284" t="inlineStr">
        <is>
          <t>Kyrkan</t>
        </is>
      </c>
      <c r="G284" t="n">
        <v>6.1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58990-2022</t>
        </is>
      </c>
      <c r="B285" s="1" t="n">
        <v>44903</v>
      </c>
      <c r="C285" s="1" t="n">
        <v>45292</v>
      </c>
      <c r="D285" t="inlineStr">
        <is>
          <t>VÄSTRA GÖTALANDS LÄN</t>
        </is>
      </c>
      <c r="E285" t="inlineStr">
        <is>
          <t>ALINGSÅS</t>
        </is>
      </c>
      <c r="F285" t="inlineStr">
        <is>
          <t>Kyrkan</t>
        </is>
      </c>
      <c r="G285" t="n">
        <v>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59353-2022</t>
        </is>
      </c>
      <c r="B286" s="1" t="n">
        <v>44904</v>
      </c>
      <c r="C286" s="1" t="n">
        <v>45292</v>
      </c>
      <c r="D286" t="inlineStr">
        <is>
          <t>VÄSTRA GÖTALANDS LÄN</t>
        </is>
      </c>
      <c r="E286" t="inlineStr">
        <is>
          <t>ALINGSÅS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59354-2022</t>
        </is>
      </c>
      <c r="B287" s="1" t="n">
        <v>44904</v>
      </c>
      <c r="C287" s="1" t="n">
        <v>45292</v>
      </c>
      <c r="D287" t="inlineStr">
        <is>
          <t>VÄSTRA GÖTALANDS LÄN</t>
        </is>
      </c>
      <c r="E287" t="inlineStr">
        <is>
          <t>ALINGSÅS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59355-2022</t>
        </is>
      </c>
      <c r="B288" s="1" t="n">
        <v>44904</v>
      </c>
      <c r="C288" s="1" t="n">
        <v>45292</v>
      </c>
      <c r="D288" t="inlineStr">
        <is>
          <t>VÄSTRA GÖTALANDS LÄN</t>
        </is>
      </c>
      <c r="E288" t="inlineStr">
        <is>
          <t>ALINGSÅS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59541-2022</t>
        </is>
      </c>
      <c r="B289" s="1" t="n">
        <v>44907</v>
      </c>
      <c r="C289" s="1" t="n">
        <v>45292</v>
      </c>
      <c r="D289" t="inlineStr">
        <is>
          <t>VÄSTRA GÖTALANDS LÄN</t>
        </is>
      </c>
      <c r="E289" t="inlineStr">
        <is>
          <t>ALINGSÅS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61918-2022</t>
        </is>
      </c>
      <c r="B290" s="1" t="n">
        <v>44917</v>
      </c>
      <c r="C290" s="1" t="n">
        <v>45292</v>
      </c>
      <c r="D290" t="inlineStr">
        <is>
          <t>VÄSTRA GÖTALANDS LÄN</t>
        </is>
      </c>
      <c r="E290" t="inlineStr">
        <is>
          <t>ALINGSÅS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3355-2023</t>
        </is>
      </c>
      <c r="B291" s="1" t="n">
        <v>44949</v>
      </c>
      <c r="C291" s="1" t="n">
        <v>45292</v>
      </c>
      <c r="D291" t="inlineStr">
        <is>
          <t>VÄSTRA GÖTALANDS LÄN</t>
        </is>
      </c>
      <c r="E291" t="inlineStr">
        <is>
          <t>ALINGSÅS</t>
        </is>
      </c>
      <c r="G291" t="n">
        <v>6.8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3495-2023</t>
        </is>
      </c>
      <c r="B292" s="1" t="n">
        <v>44949</v>
      </c>
      <c r="C292" s="1" t="n">
        <v>45292</v>
      </c>
      <c r="D292" t="inlineStr">
        <is>
          <t>VÄSTRA GÖTALANDS LÄN</t>
        </is>
      </c>
      <c r="E292" t="inlineStr">
        <is>
          <t>ALINGSÅS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4145-2023</t>
        </is>
      </c>
      <c r="B293" s="1" t="n">
        <v>44953</v>
      </c>
      <c r="C293" s="1" t="n">
        <v>45292</v>
      </c>
      <c r="D293" t="inlineStr">
        <is>
          <t>VÄSTRA GÖTALANDS LÄN</t>
        </is>
      </c>
      <c r="E293" t="inlineStr">
        <is>
          <t>ALINGSÅS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4147-2023</t>
        </is>
      </c>
      <c r="B294" s="1" t="n">
        <v>44953</v>
      </c>
      <c r="C294" s="1" t="n">
        <v>45292</v>
      </c>
      <c r="D294" t="inlineStr">
        <is>
          <t>VÄSTRA GÖTALANDS LÄN</t>
        </is>
      </c>
      <c r="E294" t="inlineStr">
        <is>
          <t>ALINGSÅS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4144-2023</t>
        </is>
      </c>
      <c r="B295" s="1" t="n">
        <v>44953</v>
      </c>
      <c r="C295" s="1" t="n">
        <v>45292</v>
      </c>
      <c r="D295" t="inlineStr">
        <is>
          <t>VÄSTRA GÖTALANDS LÄN</t>
        </is>
      </c>
      <c r="E295" t="inlineStr">
        <is>
          <t>ALINGSÅS</t>
        </is>
      </c>
      <c r="G295" t="n">
        <v>6.5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4149-2023</t>
        </is>
      </c>
      <c r="B296" s="1" t="n">
        <v>44953</v>
      </c>
      <c r="C296" s="1" t="n">
        <v>45292</v>
      </c>
      <c r="D296" t="inlineStr">
        <is>
          <t>VÄSTRA GÖTALANDS LÄN</t>
        </is>
      </c>
      <c r="E296" t="inlineStr">
        <is>
          <t>ALINGSÅS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4528-2023</t>
        </is>
      </c>
      <c r="B297" s="1" t="n">
        <v>44956</v>
      </c>
      <c r="C297" s="1" t="n">
        <v>45292</v>
      </c>
      <c r="D297" t="inlineStr">
        <is>
          <t>VÄSTRA GÖTALANDS LÄN</t>
        </is>
      </c>
      <c r="E297" t="inlineStr">
        <is>
          <t>ALINGSÅS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4804-2023</t>
        </is>
      </c>
      <c r="B298" s="1" t="n">
        <v>44957</v>
      </c>
      <c r="C298" s="1" t="n">
        <v>45292</v>
      </c>
      <c r="D298" t="inlineStr">
        <is>
          <t>VÄSTRA GÖTALANDS LÄN</t>
        </is>
      </c>
      <c r="E298" t="inlineStr">
        <is>
          <t>ALINGSÅS</t>
        </is>
      </c>
      <c r="G298" t="n">
        <v>4.6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4806-2023</t>
        </is>
      </c>
      <c r="B299" s="1" t="n">
        <v>44957</v>
      </c>
      <c r="C299" s="1" t="n">
        <v>45292</v>
      </c>
      <c r="D299" t="inlineStr">
        <is>
          <t>VÄSTRA GÖTALANDS LÄN</t>
        </is>
      </c>
      <c r="E299" t="inlineStr">
        <is>
          <t>ALINGSÅS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5351-2023</t>
        </is>
      </c>
      <c r="B300" s="1" t="n">
        <v>44959</v>
      </c>
      <c r="C300" s="1" t="n">
        <v>45292</v>
      </c>
      <c r="D300" t="inlineStr">
        <is>
          <t>VÄSTRA GÖTALANDS LÄN</t>
        </is>
      </c>
      <c r="E300" t="inlineStr">
        <is>
          <t>ALINGSÅS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5962-2023</t>
        </is>
      </c>
      <c r="B301" s="1" t="n">
        <v>44964</v>
      </c>
      <c r="C301" s="1" t="n">
        <v>45292</v>
      </c>
      <c r="D301" t="inlineStr">
        <is>
          <t>VÄSTRA GÖTALANDS LÄN</t>
        </is>
      </c>
      <c r="E301" t="inlineStr">
        <is>
          <t>ALINGSÅS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6120-2023</t>
        </is>
      </c>
      <c r="B302" s="1" t="n">
        <v>44964</v>
      </c>
      <c r="C302" s="1" t="n">
        <v>45292</v>
      </c>
      <c r="D302" t="inlineStr">
        <is>
          <t>VÄSTRA GÖTALANDS LÄN</t>
        </is>
      </c>
      <c r="E302" t="inlineStr">
        <is>
          <t>ALINGSÅS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7427-2023</t>
        </is>
      </c>
      <c r="B303" s="1" t="n">
        <v>44971</v>
      </c>
      <c r="C303" s="1" t="n">
        <v>45292</v>
      </c>
      <c r="D303" t="inlineStr">
        <is>
          <t>VÄSTRA GÖTALANDS LÄN</t>
        </is>
      </c>
      <c r="E303" t="inlineStr">
        <is>
          <t>ALINGSÅS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7426-2023</t>
        </is>
      </c>
      <c r="B304" s="1" t="n">
        <v>44971</v>
      </c>
      <c r="C304" s="1" t="n">
        <v>45292</v>
      </c>
      <c r="D304" t="inlineStr">
        <is>
          <t>VÄSTRA GÖTALANDS LÄN</t>
        </is>
      </c>
      <c r="E304" t="inlineStr">
        <is>
          <t>ALINGSÅS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8080-2023</t>
        </is>
      </c>
      <c r="B305" s="1" t="n">
        <v>44974</v>
      </c>
      <c r="C305" s="1" t="n">
        <v>45292</v>
      </c>
      <c r="D305" t="inlineStr">
        <is>
          <t>VÄSTRA GÖTALANDS LÄN</t>
        </is>
      </c>
      <c r="E305" t="inlineStr">
        <is>
          <t>ALINGSÅS</t>
        </is>
      </c>
      <c r="G305" t="n">
        <v>5.5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8085-2023</t>
        </is>
      </c>
      <c r="B306" s="1" t="n">
        <v>44974</v>
      </c>
      <c r="C306" s="1" t="n">
        <v>45292</v>
      </c>
      <c r="D306" t="inlineStr">
        <is>
          <t>VÄSTRA GÖTALANDS LÄN</t>
        </is>
      </c>
      <c r="E306" t="inlineStr">
        <is>
          <t>ALINGSÅS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8163-2023</t>
        </is>
      </c>
      <c r="B307" s="1" t="n">
        <v>44974</v>
      </c>
      <c r="C307" s="1" t="n">
        <v>45292</v>
      </c>
      <c r="D307" t="inlineStr">
        <is>
          <t>VÄSTRA GÖTALANDS LÄN</t>
        </is>
      </c>
      <c r="E307" t="inlineStr">
        <is>
          <t>ALINGSÅS</t>
        </is>
      </c>
      <c r="G307" t="n">
        <v>7.2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8620-2023</t>
        </is>
      </c>
      <c r="B308" s="1" t="n">
        <v>44977</v>
      </c>
      <c r="C308" s="1" t="n">
        <v>45292</v>
      </c>
      <c r="D308" t="inlineStr">
        <is>
          <t>VÄSTRA GÖTALANDS LÄN</t>
        </is>
      </c>
      <c r="E308" t="inlineStr">
        <is>
          <t>ALINGSÅS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8599-2023</t>
        </is>
      </c>
      <c r="B309" s="1" t="n">
        <v>44977</v>
      </c>
      <c r="C309" s="1" t="n">
        <v>45292</v>
      </c>
      <c r="D309" t="inlineStr">
        <is>
          <t>VÄSTRA GÖTALANDS LÄN</t>
        </is>
      </c>
      <c r="E309" t="inlineStr">
        <is>
          <t>ALINGSÅS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8979-2023</t>
        </is>
      </c>
      <c r="B310" s="1" t="n">
        <v>44979</v>
      </c>
      <c r="C310" s="1" t="n">
        <v>45292</v>
      </c>
      <c r="D310" t="inlineStr">
        <is>
          <t>VÄSTRA GÖTALANDS LÄN</t>
        </is>
      </c>
      <c r="E310" t="inlineStr">
        <is>
          <t>ALINGSÅS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8980-2023</t>
        </is>
      </c>
      <c r="B311" s="1" t="n">
        <v>44979</v>
      </c>
      <c r="C311" s="1" t="n">
        <v>45292</v>
      </c>
      <c r="D311" t="inlineStr">
        <is>
          <t>VÄSTRA GÖTALANDS LÄN</t>
        </is>
      </c>
      <c r="E311" t="inlineStr">
        <is>
          <t>ALINGSÅS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8981-2023</t>
        </is>
      </c>
      <c r="B312" s="1" t="n">
        <v>44979</v>
      </c>
      <c r="C312" s="1" t="n">
        <v>45292</v>
      </c>
      <c r="D312" t="inlineStr">
        <is>
          <t>VÄSTRA GÖTALANDS LÄN</t>
        </is>
      </c>
      <c r="E312" t="inlineStr">
        <is>
          <t>ALINGSÅS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9791-2023</t>
        </is>
      </c>
      <c r="B313" s="1" t="n">
        <v>44984</v>
      </c>
      <c r="C313" s="1" t="n">
        <v>45292</v>
      </c>
      <c r="D313" t="inlineStr">
        <is>
          <t>VÄSTRA GÖTALANDS LÄN</t>
        </is>
      </c>
      <c r="E313" t="inlineStr">
        <is>
          <t>ALINGSÅS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9711-2023</t>
        </is>
      </c>
      <c r="B314" s="1" t="n">
        <v>44984</v>
      </c>
      <c r="C314" s="1" t="n">
        <v>45292</v>
      </c>
      <c r="D314" t="inlineStr">
        <is>
          <t>VÄSTRA GÖTALANDS LÄN</t>
        </is>
      </c>
      <c r="E314" t="inlineStr">
        <is>
          <t>ALINGSÅS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10848-2023</t>
        </is>
      </c>
      <c r="B315" s="1" t="n">
        <v>44991</v>
      </c>
      <c r="C315" s="1" t="n">
        <v>45292</v>
      </c>
      <c r="D315" t="inlineStr">
        <is>
          <t>VÄSTRA GÖTALANDS LÄN</t>
        </is>
      </c>
      <c r="E315" t="inlineStr">
        <is>
          <t>ALINGSÅS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11024-2023</t>
        </is>
      </c>
      <c r="B316" s="1" t="n">
        <v>44991</v>
      </c>
      <c r="C316" s="1" t="n">
        <v>45292</v>
      </c>
      <c r="D316" t="inlineStr">
        <is>
          <t>VÄSTRA GÖTALANDS LÄN</t>
        </is>
      </c>
      <c r="E316" t="inlineStr">
        <is>
          <t>ALINGSÅS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11023-2023</t>
        </is>
      </c>
      <c r="B317" s="1" t="n">
        <v>44991</v>
      </c>
      <c r="C317" s="1" t="n">
        <v>45292</v>
      </c>
      <c r="D317" t="inlineStr">
        <is>
          <t>VÄSTRA GÖTALANDS LÄN</t>
        </is>
      </c>
      <c r="E317" t="inlineStr">
        <is>
          <t>ALINGSÅS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12665-2023</t>
        </is>
      </c>
      <c r="B318" s="1" t="n">
        <v>45000</v>
      </c>
      <c r="C318" s="1" t="n">
        <v>45292</v>
      </c>
      <c r="D318" t="inlineStr">
        <is>
          <t>VÄSTRA GÖTALANDS LÄN</t>
        </is>
      </c>
      <c r="E318" t="inlineStr">
        <is>
          <t>ALINGSÅS</t>
        </is>
      </c>
      <c r="G318" t="n">
        <v>9.4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13135-2023</t>
        </is>
      </c>
      <c r="B319" s="1" t="n">
        <v>45002</v>
      </c>
      <c r="C319" s="1" t="n">
        <v>45292</v>
      </c>
      <c r="D319" t="inlineStr">
        <is>
          <t>VÄSTRA GÖTALANDS LÄN</t>
        </is>
      </c>
      <c r="E319" t="inlineStr">
        <is>
          <t>ALINGSÅS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13576-2023</t>
        </is>
      </c>
      <c r="B320" s="1" t="n">
        <v>45006</v>
      </c>
      <c r="C320" s="1" t="n">
        <v>45292</v>
      </c>
      <c r="D320" t="inlineStr">
        <is>
          <t>VÄSTRA GÖTALANDS LÄN</t>
        </is>
      </c>
      <c r="E320" t="inlineStr">
        <is>
          <t>ALINGSÅS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14287-2023</t>
        </is>
      </c>
      <c r="B321" s="1" t="n">
        <v>45010</v>
      </c>
      <c r="C321" s="1" t="n">
        <v>45292</v>
      </c>
      <c r="D321" t="inlineStr">
        <is>
          <t>VÄSTRA GÖTALANDS LÄN</t>
        </is>
      </c>
      <c r="E321" t="inlineStr">
        <is>
          <t>ALINGSÅS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14313-2023</t>
        </is>
      </c>
      <c r="B322" s="1" t="n">
        <v>45011</v>
      </c>
      <c r="C322" s="1" t="n">
        <v>45292</v>
      </c>
      <c r="D322" t="inlineStr">
        <is>
          <t>VÄSTRA GÖTALANDS LÄN</t>
        </is>
      </c>
      <c r="E322" t="inlineStr">
        <is>
          <t>ALINGSÅS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15018-2023</t>
        </is>
      </c>
      <c r="B323" s="1" t="n">
        <v>45015</v>
      </c>
      <c r="C323" s="1" t="n">
        <v>45292</v>
      </c>
      <c r="D323" t="inlineStr">
        <is>
          <t>VÄSTRA GÖTALANDS LÄN</t>
        </is>
      </c>
      <c r="E323" t="inlineStr">
        <is>
          <t>ALINGSÅS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15019-2023</t>
        </is>
      </c>
      <c r="B324" s="1" t="n">
        <v>45015</v>
      </c>
      <c r="C324" s="1" t="n">
        <v>45292</v>
      </c>
      <c r="D324" t="inlineStr">
        <is>
          <t>VÄSTRA GÖTALANDS LÄN</t>
        </is>
      </c>
      <c r="E324" t="inlineStr">
        <is>
          <t>ALINGSÅS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15798-2023</t>
        </is>
      </c>
      <c r="B325" s="1" t="n">
        <v>45021</v>
      </c>
      <c r="C325" s="1" t="n">
        <v>45292</v>
      </c>
      <c r="D325" t="inlineStr">
        <is>
          <t>VÄSTRA GÖTALANDS LÄN</t>
        </is>
      </c>
      <c r="E325" t="inlineStr">
        <is>
          <t>ALINGSÅS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15799-2023</t>
        </is>
      </c>
      <c r="B326" s="1" t="n">
        <v>45021</v>
      </c>
      <c r="C326" s="1" t="n">
        <v>45292</v>
      </c>
      <c r="D326" t="inlineStr">
        <is>
          <t>VÄSTRA GÖTALANDS LÄN</t>
        </is>
      </c>
      <c r="E326" t="inlineStr">
        <is>
          <t>ALINGSÅS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16878-2023</t>
        </is>
      </c>
      <c r="B327" s="1" t="n">
        <v>45033</v>
      </c>
      <c r="C327" s="1" t="n">
        <v>45292</v>
      </c>
      <c r="D327" t="inlineStr">
        <is>
          <t>VÄSTRA GÖTALANDS LÄN</t>
        </is>
      </c>
      <c r="E327" t="inlineStr">
        <is>
          <t>ALINGSÅS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17308-2023</t>
        </is>
      </c>
      <c r="B328" s="1" t="n">
        <v>45035</v>
      </c>
      <c r="C328" s="1" t="n">
        <v>45292</v>
      </c>
      <c r="D328" t="inlineStr">
        <is>
          <t>VÄSTRA GÖTALANDS LÄN</t>
        </is>
      </c>
      <c r="E328" t="inlineStr">
        <is>
          <t>ALINGSÅS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19134-2023</t>
        </is>
      </c>
      <c r="B329" s="1" t="n">
        <v>45048</v>
      </c>
      <c r="C329" s="1" t="n">
        <v>45292</v>
      </c>
      <c r="D329" t="inlineStr">
        <is>
          <t>VÄSTRA GÖTALANDS LÄN</t>
        </is>
      </c>
      <c r="E329" t="inlineStr">
        <is>
          <t>ALINGSÅS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19770-2023</t>
        </is>
      </c>
      <c r="B330" s="1" t="n">
        <v>45051</v>
      </c>
      <c r="C330" s="1" t="n">
        <v>45292</v>
      </c>
      <c r="D330" t="inlineStr">
        <is>
          <t>VÄSTRA GÖTALANDS LÄN</t>
        </is>
      </c>
      <c r="E330" t="inlineStr">
        <is>
          <t>ALINGSÅS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19663-2023</t>
        </is>
      </c>
      <c r="B331" s="1" t="n">
        <v>45051</v>
      </c>
      <c r="C331" s="1" t="n">
        <v>45292</v>
      </c>
      <c r="D331" t="inlineStr">
        <is>
          <t>VÄSTRA GÖTALANDS LÄN</t>
        </is>
      </c>
      <c r="E331" t="inlineStr">
        <is>
          <t>ALINGSÅS</t>
        </is>
      </c>
      <c r="G331" t="n">
        <v>12.2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19769-2023</t>
        </is>
      </c>
      <c r="B332" s="1" t="n">
        <v>45051</v>
      </c>
      <c r="C332" s="1" t="n">
        <v>45292</v>
      </c>
      <c r="D332" t="inlineStr">
        <is>
          <t>VÄSTRA GÖTALANDS LÄN</t>
        </is>
      </c>
      <c r="E332" t="inlineStr">
        <is>
          <t>ALINGSÅS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21892-2023</t>
        </is>
      </c>
      <c r="B333" s="1" t="n">
        <v>45068</v>
      </c>
      <c r="C333" s="1" t="n">
        <v>45292</v>
      </c>
      <c r="D333" t="inlineStr">
        <is>
          <t>VÄSTRA GÖTALANDS LÄN</t>
        </is>
      </c>
      <c r="E333" t="inlineStr">
        <is>
          <t>ALINGSÅS</t>
        </is>
      </c>
      <c r="G333" t="n">
        <v>5.1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23181-2023</t>
        </is>
      </c>
      <c r="B334" s="1" t="n">
        <v>45075</v>
      </c>
      <c r="C334" s="1" t="n">
        <v>45292</v>
      </c>
      <c r="D334" t="inlineStr">
        <is>
          <t>VÄSTRA GÖTALANDS LÄN</t>
        </is>
      </c>
      <c r="E334" t="inlineStr">
        <is>
          <t>ALINGSÅS</t>
        </is>
      </c>
      <c r="G334" t="n">
        <v>13.1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23332-2023</t>
        </is>
      </c>
      <c r="B335" s="1" t="n">
        <v>45076</v>
      </c>
      <c r="C335" s="1" t="n">
        <v>45292</v>
      </c>
      <c r="D335" t="inlineStr">
        <is>
          <t>VÄSTRA GÖTALANDS LÄN</t>
        </is>
      </c>
      <c r="E335" t="inlineStr">
        <is>
          <t>ALINGSÅS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25120-2023</t>
        </is>
      </c>
      <c r="B336" s="1" t="n">
        <v>45086</v>
      </c>
      <c r="C336" s="1" t="n">
        <v>45292</v>
      </c>
      <c r="D336" t="inlineStr">
        <is>
          <t>VÄSTRA GÖTALANDS LÄN</t>
        </is>
      </c>
      <c r="E336" t="inlineStr">
        <is>
          <t>ALINGSÅS</t>
        </is>
      </c>
      <c r="G336" t="n">
        <v>5.2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26316-2023</t>
        </is>
      </c>
      <c r="B337" s="1" t="n">
        <v>45091</v>
      </c>
      <c r="C337" s="1" t="n">
        <v>45292</v>
      </c>
      <c r="D337" t="inlineStr">
        <is>
          <t>VÄSTRA GÖTALANDS LÄN</t>
        </is>
      </c>
      <c r="E337" t="inlineStr">
        <is>
          <t>ALINGSÅS</t>
        </is>
      </c>
      <c r="G337" t="n">
        <v>5.6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26405-2023</t>
        </is>
      </c>
      <c r="B338" s="1" t="n">
        <v>45092</v>
      </c>
      <c r="C338" s="1" t="n">
        <v>45292</v>
      </c>
      <c r="D338" t="inlineStr">
        <is>
          <t>VÄSTRA GÖTALANDS LÄN</t>
        </is>
      </c>
      <c r="E338" t="inlineStr">
        <is>
          <t>ALINGSÅS</t>
        </is>
      </c>
      <c r="G338" t="n">
        <v>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26595-2023</t>
        </is>
      </c>
      <c r="B339" s="1" t="n">
        <v>45092</v>
      </c>
      <c r="C339" s="1" t="n">
        <v>45292</v>
      </c>
      <c r="D339" t="inlineStr">
        <is>
          <t>VÄSTRA GÖTALANDS LÄN</t>
        </is>
      </c>
      <c r="E339" t="inlineStr">
        <is>
          <t>ALINGSÅS</t>
        </is>
      </c>
      <c r="G339" t="n">
        <v>14.4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27431-2023</t>
        </is>
      </c>
      <c r="B340" s="1" t="n">
        <v>45097</v>
      </c>
      <c r="C340" s="1" t="n">
        <v>45292</v>
      </c>
      <c r="D340" t="inlineStr">
        <is>
          <t>VÄSTRA GÖTALANDS LÄN</t>
        </is>
      </c>
      <c r="E340" t="inlineStr">
        <is>
          <t>ALINGSÅS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27588-2023</t>
        </is>
      </c>
      <c r="B341" s="1" t="n">
        <v>45097</v>
      </c>
      <c r="C341" s="1" t="n">
        <v>45292</v>
      </c>
      <c r="D341" t="inlineStr">
        <is>
          <t>VÄSTRA GÖTALANDS LÄN</t>
        </is>
      </c>
      <c r="E341" t="inlineStr">
        <is>
          <t>ALINGSÅS</t>
        </is>
      </c>
      <c r="G341" t="n">
        <v>12.8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29253-2023</t>
        </is>
      </c>
      <c r="B342" s="1" t="n">
        <v>45105</v>
      </c>
      <c r="C342" s="1" t="n">
        <v>45292</v>
      </c>
      <c r="D342" t="inlineStr">
        <is>
          <t>VÄSTRA GÖTALANDS LÄN</t>
        </is>
      </c>
      <c r="E342" t="inlineStr">
        <is>
          <t>ALINGSÅS</t>
        </is>
      </c>
      <c r="G342" t="n">
        <v>5.3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30478-2023</t>
        </is>
      </c>
      <c r="B343" s="1" t="n">
        <v>45111</v>
      </c>
      <c r="C343" s="1" t="n">
        <v>45292</v>
      </c>
      <c r="D343" t="inlineStr">
        <is>
          <t>VÄSTRA GÖTALANDS LÄN</t>
        </is>
      </c>
      <c r="E343" t="inlineStr">
        <is>
          <t>ALINGSÅS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31873-2023</t>
        </is>
      </c>
      <c r="B344" s="1" t="n">
        <v>45118</v>
      </c>
      <c r="C344" s="1" t="n">
        <v>45292</v>
      </c>
      <c r="D344" t="inlineStr">
        <is>
          <t>VÄSTRA GÖTALANDS LÄN</t>
        </is>
      </c>
      <c r="E344" t="inlineStr">
        <is>
          <t>ALINGSÅS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33053-2023</t>
        </is>
      </c>
      <c r="B345" s="1" t="n">
        <v>45126</v>
      </c>
      <c r="C345" s="1" t="n">
        <v>45292</v>
      </c>
      <c r="D345" t="inlineStr">
        <is>
          <t>VÄSTRA GÖTALANDS LÄN</t>
        </is>
      </c>
      <c r="E345" t="inlineStr">
        <is>
          <t>ALINGSÅS</t>
        </is>
      </c>
      <c r="G345" t="n">
        <v>7.3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33812-2023</t>
        </is>
      </c>
      <c r="B346" s="1" t="n">
        <v>45133</v>
      </c>
      <c r="C346" s="1" t="n">
        <v>45292</v>
      </c>
      <c r="D346" t="inlineStr">
        <is>
          <t>VÄSTRA GÖTALANDS LÄN</t>
        </is>
      </c>
      <c r="E346" t="inlineStr">
        <is>
          <t>ALINGSÅS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33811-2023</t>
        </is>
      </c>
      <c r="B347" s="1" t="n">
        <v>45133</v>
      </c>
      <c r="C347" s="1" t="n">
        <v>45292</v>
      </c>
      <c r="D347" t="inlineStr">
        <is>
          <t>VÄSTRA GÖTALANDS LÄN</t>
        </is>
      </c>
      <c r="E347" t="inlineStr">
        <is>
          <t>ALINGSÅS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36006-2023</t>
        </is>
      </c>
      <c r="B348" s="1" t="n">
        <v>45149</v>
      </c>
      <c r="C348" s="1" t="n">
        <v>45292</v>
      </c>
      <c r="D348" t="inlineStr">
        <is>
          <t>VÄSTRA GÖTALANDS LÄN</t>
        </is>
      </c>
      <c r="E348" t="inlineStr">
        <is>
          <t>ALINGSÅS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36332-2023</t>
        </is>
      </c>
      <c r="B349" s="1" t="n">
        <v>45152</v>
      </c>
      <c r="C349" s="1" t="n">
        <v>45292</v>
      </c>
      <c r="D349" t="inlineStr">
        <is>
          <t>VÄSTRA GÖTALANDS LÄN</t>
        </is>
      </c>
      <c r="E349" t="inlineStr">
        <is>
          <t>ALINGSÅS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37219-2023</t>
        </is>
      </c>
      <c r="B350" s="1" t="n">
        <v>45155</v>
      </c>
      <c r="C350" s="1" t="n">
        <v>45292</v>
      </c>
      <c r="D350" t="inlineStr">
        <is>
          <t>VÄSTRA GÖTALANDS LÄN</t>
        </is>
      </c>
      <c r="E350" t="inlineStr">
        <is>
          <t>ALINGSÅS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37290-2023</t>
        </is>
      </c>
      <c r="B351" s="1" t="n">
        <v>45156</v>
      </c>
      <c r="C351" s="1" t="n">
        <v>45292</v>
      </c>
      <c r="D351" t="inlineStr">
        <is>
          <t>VÄSTRA GÖTALANDS LÄN</t>
        </is>
      </c>
      <c r="E351" t="inlineStr">
        <is>
          <t>ALINGSÅS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37429-2023</t>
        </is>
      </c>
      <c r="B352" s="1" t="n">
        <v>45156</v>
      </c>
      <c r="C352" s="1" t="n">
        <v>45292</v>
      </c>
      <c r="D352" t="inlineStr">
        <is>
          <t>VÄSTRA GÖTALANDS LÄN</t>
        </is>
      </c>
      <c r="E352" t="inlineStr">
        <is>
          <t>ALINGSÅS</t>
        </is>
      </c>
      <c r="F352" t="inlineStr">
        <is>
          <t>Kyrkan</t>
        </is>
      </c>
      <c r="G352" t="n">
        <v>9.199999999999999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39471-2023</t>
        </is>
      </c>
      <c r="B353" s="1" t="n">
        <v>45166</v>
      </c>
      <c r="C353" s="1" t="n">
        <v>45292</v>
      </c>
      <c r="D353" t="inlineStr">
        <is>
          <t>VÄSTRA GÖTALANDS LÄN</t>
        </is>
      </c>
      <c r="E353" t="inlineStr">
        <is>
          <t>ALINGSÅS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39470-2023</t>
        </is>
      </c>
      <c r="B354" s="1" t="n">
        <v>45166</v>
      </c>
      <c r="C354" s="1" t="n">
        <v>45292</v>
      </c>
      <c r="D354" t="inlineStr">
        <is>
          <t>VÄSTRA GÖTALANDS LÄN</t>
        </is>
      </c>
      <c r="E354" t="inlineStr">
        <is>
          <t>ALINGSÅS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39472-2023</t>
        </is>
      </c>
      <c r="B355" s="1" t="n">
        <v>45166</v>
      </c>
      <c r="C355" s="1" t="n">
        <v>45292</v>
      </c>
      <c r="D355" t="inlineStr">
        <is>
          <t>VÄSTRA GÖTALANDS LÄN</t>
        </is>
      </c>
      <c r="E355" t="inlineStr">
        <is>
          <t>ALINGSÅS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39999-2023</t>
        </is>
      </c>
      <c r="B356" s="1" t="n">
        <v>45168</v>
      </c>
      <c r="C356" s="1" t="n">
        <v>45292</v>
      </c>
      <c r="D356" t="inlineStr">
        <is>
          <t>VÄSTRA GÖTALANDS LÄN</t>
        </is>
      </c>
      <c r="E356" t="inlineStr">
        <is>
          <t>ALINGSÅS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40880-2023</t>
        </is>
      </c>
      <c r="B357" s="1" t="n">
        <v>45173</v>
      </c>
      <c r="C357" s="1" t="n">
        <v>45292</v>
      </c>
      <c r="D357" t="inlineStr">
        <is>
          <t>VÄSTRA GÖTALANDS LÄN</t>
        </is>
      </c>
      <c r="E357" t="inlineStr">
        <is>
          <t>ALINGSÅS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41971-2023</t>
        </is>
      </c>
      <c r="B358" s="1" t="n">
        <v>45177</v>
      </c>
      <c r="C358" s="1" t="n">
        <v>45292</v>
      </c>
      <c r="D358" t="inlineStr">
        <is>
          <t>VÄSTRA GÖTALANDS LÄN</t>
        </is>
      </c>
      <c r="E358" t="inlineStr">
        <is>
          <t>ALINGSÅS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42054-2023</t>
        </is>
      </c>
      <c r="B359" s="1" t="n">
        <v>45177</v>
      </c>
      <c r="C359" s="1" t="n">
        <v>45292</v>
      </c>
      <c r="D359" t="inlineStr">
        <is>
          <t>VÄSTRA GÖTALANDS LÄN</t>
        </is>
      </c>
      <c r="E359" t="inlineStr">
        <is>
          <t>ALINGSÅS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46240-2023</t>
        </is>
      </c>
      <c r="B360" s="1" t="n">
        <v>45196</v>
      </c>
      <c r="C360" s="1" t="n">
        <v>45292</v>
      </c>
      <c r="D360" t="inlineStr">
        <is>
          <t>VÄSTRA GÖTALANDS LÄN</t>
        </is>
      </c>
      <c r="E360" t="inlineStr">
        <is>
          <t>ALINGSÅS</t>
        </is>
      </c>
      <c r="G360" t="n">
        <v>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46469-2023</t>
        </is>
      </c>
      <c r="B361" s="1" t="n">
        <v>45197</v>
      </c>
      <c r="C361" s="1" t="n">
        <v>45292</v>
      </c>
      <c r="D361" t="inlineStr">
        <is>
          <t>VÄSTRA GÖTALANDS LÄN</t>
        </is>
      </c>
      <c r="E361" t="inlineStr">
        <is>
          <t>ALINGSÅS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47188-2023</t>
        </is>
      </c>
      <c r="B362" s="1" t="n">
        <v>45202</v>
      </c>
      <c r="C362" s="1" t="n">
        <v>45292</v>
      </c>
      <c r="D362" t="inlineStr">
        <is>
          <t>VÄSTRA GÖTALANDS LÄN</t>
        </is>
      </c>
      <c r="E362" t="inlineStr">
        <is>
          <t>ALINGSÅS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48162-2023</t>
        </is>
      </c>
      <c r="B363" s="1" t="n">
        <v>45205</v>
      </c>
      <c r="C363" s="1" t="n">
        <v>45292</v>
      </c>
      <c r="D363" t="inlineStr">
        <is>
          <t>VÄSTRA GÖTALANDS LÄN</t>
        </is>
      </c>
      <c r="E363" t="inlineStr">
        <is>
          <t>ALINGSÅS</t>
        </is>
      </c>
      <c r="G363" t="n">
        <v>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48151-2023</t>
        </is>
      </c>
      <c r="B364" s="1" t="n">
        <v>45205</v>
      </c>
      <c r="C364" s="1" t="n">
        <v>45292</v>
      </c>
      <c r="D364" t="inlineStr">
        <is>
          <t>VÄSTRA GÖTALANDS LÄN</t>
        </is>
      </c>
      <c r="E364" t="inlineStr">
        <is>
          <t>ALINGSÅS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48168-2023</t>
        </is>
      </c>
      <c r="B365" s="1" t="n">
        <v>45205</v>
      </c>
      <c r="C365" s="1" t="n">
        <v>45292</v>
      </c>
      <c r="D365" t="inlineStr">
        <is>
          <t>VÄSTRA GÖTALANDS LÄN</t>
        </is>
      </c>
      <c r="E365" t="inlineStr">
        <is>
          <t>ALINGSÅS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48804-2023</t>
        </is>
      </c>
      <c r="B366" s="1" t="n">
        <v>45209</v>
      </c>
      <c r="C366" s="1" t="n">
        <v>45292</v>
      </c>
      <c r="D366" t="inlineStr">
        <is>
          <t>VÄSTRA GÖTALANDS LÄN</t>
        </is>
      </c>
      <c r="E366" t="inlineStr">
        <is>
          <t>ALINGSÅS</t>
        </is>
      </c>
      <c r="G366" t="n">
        <v>6.2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49028-2023</t>
        </is>
      </c>
      <c r="B367" s="1" t="n">
        <v>45210</v>
      </c>
      <c r="C367" s="1" t="n">
        <v>45292</v>
      </c>
      <c r="D367" t="inlineStr">
        <is>
          <t>VÄSTRA GÖTALANDS LÄN</t>
        </is>
      </c>
      <c r="E367" t="inlineStr">
        <is>
          <t>ALINGSÅS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49281-2023</t>
        </is>
      </c>
      <c r="B368" s="1" t="n">
        <v>45210</v>
      </c>
      <c r="C368" s="1" t="n">
        <v>45292</v>
      </c>
      <c r="D368" t="inlineStr">
        <is>
          <t>VÄSTRA GÖTALANDS LÄN</t>
        </is>
      </c>
      <c r="E368" t="inlineStr">
        <is>
          <t>ALINGSÅS</t>
        </is>
      </c>
      <c r="G368" t="n">
        <v>4.2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50945-2023</t>
        </is>
      </c>
      <c r="B369" s="1" t="n">
        <v>45210</v>
      </c>
      <c r="C369" s="1" t="n">
        <v>45292</v>
      </c>
      <c r="D369" t="inlineStr">
        <is>
          <t>VÄSTRA GÖTALANDS LÄN</t>
        </is>
      </c>
      <c r="E369" t="inlineStr">
        <is>
          <t>ALINGSÅS</t>
        </is>
      </c>
      <c r="F369" t="inlineStr">
        <is>
          <t>Allmännings- och besparingsskogar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50784-2023</t>
        </is>
      </c>
      <c r="B370" s="1" t="n">
        <v>45210</v>
      </c>
      <c r="C370" s="1" t="n">
        <v>45292</v>
      </c>
      <c r="D370" t="inlineStr">
        <is>
          <t>VÄSTRA GÖTALANDS LÄN</t>
        </is>
      </c>
      <c r="E370" t="inlineStr">
        <is>
          <t>ALINGSÅS</t>
        </is>
      </c>
      <c r="F370" t="inlineStr">
        <is>
          <t>Allmännings- och besparingsskogar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49467-2023</t>
        </is>
      </c>
      <c r="B371" s="1" t="n">
        <v>45211</v>
      </c>
      <c r="C371" s="1" t="n">
        <v>45292</v>
      </c>
      <c r="D371" t="inlineStr">
        <is>
          <t>VÄSTRA GÖTALANDS LÄN</t>
        </is>
      </c>
      <c r="E371" t="inlineStr">
        <is>
          <t>ALINGSÅS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49472-2023</t>
        </is>
      </c>
      <c r="B372" s="1" t="n">
        <v>45211</v>
      </c>
      <c r="C372" s="1" t="n">
        <v>45292</v>
      </c>
      <c r="D372" t="inlineStr">
        <is>
          <t>VÄSTRA GÖTALANDS LÄN</t>
        </is>
      </c>
      <c r="E372" t="inlineStr">
        <is>
          <t>ALINGSÅS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50140-2023</t>
        </is>
      </c>
      <c r="B373" s="1" t="n">
        <v>45215</v>
      </c>
      <c r="C373" s="1" t="n">
        <v>45292</v>
      </c>
      <c r="D373" t="inlineStr">
        <is>
          <t>VÄSTRA GÖTALANDS LÄN</t>
        </is>
      </c>
      <c r="E373" t="inlineStr">
        <is>
          <t>ALINGSÅS</t>
        </is>
      </c>
      <c r="G373" t="n">
        <v>6.3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50394-2023</t>
        </is>
      </c>
      <c r="B374" s="1" t="n">
        <v>45216</v>
      </c>
      <c r="C374" s="1" t="n">
        <v>45292</v>
      </c>
      <c r="D374" t="inlineStr">
        <is>
          <t>VÄSTRA GÖTALANDS LÄN</t>
        </is>
      </c>
      <c r="E374" t="inlineStr">
        <is>
          <t>ALINGSÅS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51051-2023</t>
        </is>
      </c>
      <c r="B375" s="1" t="n">
        <v>45218</v>
      </c>
      <c r="C375" s="1" t="n">
        <v>45292</v>
      </c>
      <c r="D375" t="inlineStr">
        <is>
          <t>VÄSTRA GÖTALANDS LÄN</t>
        </is>
      </c>
      <c r="E375" t="inlineStr">
        <is>
          <t>ALINGSÅS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51178-2023</t>
        </is>
      </c>
      <c r="B376" s="1" t="n">
        <v>45219</v>
      </c>
      <c r="C376" s="1" t="n">
        <v>45292</v>
      </c>
      <c r="D376" t="inlineStr">
        <is>
          <t>VÄSTRA GÖTALANDS LÄN</t>
        </is>
      </c>
      <c r="E376" t="inlineStr">
        <is>
          <t>ALINGSÅS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53628-2023</t>
        </is>
      </c>
      <c r="B377" s="1" t="n">
        <v>45230</v>
      </c>
      <c r="C377" s="1" t="n">
        <v>45292</v>
      </c>
      <c r="D377" t="inlineStr">
        <is>
          <t>VÄSTRA GÖTALANDS LÄN</t>
        </is>
      </c>
      <c r="E377" t="inlineStr">
        <is>
          <t>ALINGSÅS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56752-2023</t>
        </is>
      </c>
      <c r="B378" s="1" t="n">
        <v>45244</v>
      </c>
      <c r="C378" s="1" t="n">
        <v>45292</v>
      </c>
      <c r="D378" t="inlineStr">
        <is>
          <t>VÄSTRA GÖTALANDS LÄN</t>
        </is>
      </c>
      <c r="E378" t="inlineStr">
        <is>
          <t>ALINGSÅS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58340-2023</t>
        </is>
      </c>
      <c r="B379" s="1" t="n">
        <v>45250</v>
      </c>
      <c r="C379" s="1" t="n">
        <v>45292</v>
      </c>
      <c r="D379" t="inlineStr">
        <is>
          <t>VÄSTRA GÖTALANDS LÄN</t>
        </is>
      </c>
      <c r="E379" t="inlineStr">
        <is>
          <t>ALINGSÅS</t>
        </is>
      </c>
      <c r="G379" t="n">
        <v>9.300000000000001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58858-2023</t>
        </is>
      </c>
      <c r="B380" s="1" t="n">
        <v>45252</v>
      </c>
      <c r="C380" s="1" t="n">
        <v>45292</v>
      </c>
      <c r="D380" t="inlineStr">
        <is>
          <t>VÄSTRA GÖTALANDS LÄN</t>
        </is>
      </c>
      <c r="E380" t="inlineStr">
        <is>
          <t>ALINGSÅS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59292-2023</t>
        </is>
      </c>
      <c r="B381" s="1" t="n">
        <v>45253</v>
      </c>
      <c r="C381" s="1" t="n">
        <v>45292</v>
      </c>
      <c r="D381" t="inlineStr">
        <is>
          <t>VÄSTRA GÖTALANDS LÄN</t>
        </is>
      </c>
      <c r="E381" t="inlineStr">
        <is>
          <t>ALINGSÅS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59566-2023</t>
        </is>
      </c>
      <c r="B382" s="1" t="n">
        <v>45254</v>
      </c>
      <c r="C382" s="1" t="n">
        <v>45292</v>
      </c>
      <c r="D382" t="inlineStr">
        <is>
          <t>VÄSTRA GÖTALANDS LÄN</t>
        </is>
      </c>
      <c r="E382" t="inlineStr">
        <is>
          <t>ALINGSÅS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59925-2023</t>
        </is>
      </c>
      <c r="B383" s="1" t="n">
        <v>45257</v>
      </c>
      <c r="C383" s="1" t="n">
        <v>45292</v>
      </c>
      <c r="D383" t="inlineStr">
        <is>
          <t>VÄSTRA GÖTALANDS LÄN</t>
        </is>
      </c>
      <c r="E383" t="inlineStr">
        <is>
          <t>ALINGSÅS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59956-2023</t>
        </is>
      </c>
      <c r="B384" s="1" t="n">
        <v>45257</v>
      </c>
      <c r="C384" s="1" t="n">
        <v>45292</v>
      </c>
      <c r="D384" t="inlineStr">
        <is>
          <t>VÄSTRA GÖTALANDS LÄN</t>
        </is>
      </c>
      <c r="E384" t="inlineStr">
        <is>
          <t>ALINGSÅS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60026-2023</t>
        </is>
      </c>
      <c r="B385" s="1" t="n">
        <v>45258</v>
      </c>
      <c r="C385" s="1" t="n">
        <v>45292</v>
      </c>
      <c r="D385" t="inlineStr">
        <is>
          <t>VÄSTRA GÖTALANDS LÄN</t>
        </is>
      </c>
      <c r="E385" t="inlineStr">
        <is>
          <t>ALINGSÅS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60027-2023</t>
        </is>
      </c>
      <c r="B386" s="1" t="n">
        <v>45258</v>
      </c>
      <c r="C386" s="1" t="n">
        <v>45292</v>
      </c>
      <c r="D386" t="inlineStr">
        <is>
          <t>VÄSTRA GÖTALANDS LÄN</t>
        </is>
      </c>
      <c r="E386" t="inlineStr">
        <is>
          <t>ALINGSÅS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61099-2023</t>
        </is>
      </c>
      <c r="B387" s="1" t="n">
        <v>45261</v>
      </c>
      <c r="C387" s="1" t="n">
        <v>45292</v>
      </c>
      <c r="D387" t="inlineStr">
        <is>
          <t>VÄSTRA GÖTALANDS LÄN</t>
        </is>
      </c>
      <c r="E387" t="inlineStr">
        <is>
          <t>ALINGSÅS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60904-2023</t>
        </is>
      </c>
      <c r="B388" s="1" t="n">
        <v>45261</v>
      </c>
      <c r="C388" s="1" t="n">
        <v>45292</v>
      </c>
      <c r="D388" t="inlineStr">
        <is>
          <t>VÄSTRA GÖTALANDS LÄN</t>
        </is>
      </c>
      <c r="E388" t="inlineStr">
        <is>
          <t>ALINGSÅS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61734-2023</t>
        </is>
      </c>
      <c r="B389" s="1" t="n">
        <v>45265</v>
      </c>
      <c r="C389" s="1" t="n">
        <v>45292</v>
      </c>
      <c r="D389" t="inlineStr">
        <is>
          <t>VÄSTRA GÖTALANDS LÄN</t>
        </is>
      </c>
      <c r="E389" t="inlineStr">
        <is>
          <t>ALINGSÅS</t>
        </is>
      </c>
      <c r="G389" t="n">
        <v>4.8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62603-2023</t>
        </is>
      </c>
      <c r="B390" s="1" t="n">
        <v>45271</v>
      </c>
      <c r="C390" s="1" t="n">
        <v>45292</v>
      </c>
      <c r="D390" t="inlineStr">
        <is>
          <t>VÄSTRA GÖTALANDS LÄN</t>
        </is>
      </c>
      <c r="E390" t="inlineStr">
        <is>
          <t>ALINGSÅS</t>
        </is>
      </c>
      <c r="F390" t="inlineStr">
        <is>
          <t>Kyrkan</t>
        </is>
      </c>
      <c r="G390" t="n">
        <v>4.9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62678-2023</t>
        </is>
      </c>
      <c r="B391" s="1" t="n">
        <v>45271</v>
      </c>
      <c r="C391" s="1" t="n">
        <v>45292</v>
      </c>
      <c r="D391" t="inlineStr">
        <is>
          <t>VÄSTRA GÖTALANDS LÄN</t>
        </is>
      </c>
      <c r="E391" t="inlineStr">
        <is>
          <t>ALINGSÅS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62671-2023</t>
        </is>
      </c>
      <c r="B392" s="1" t="n">
        <v>45271</v>
      </c>
      <c r="C392" s="1" t="n">
        <v>45292</v>
      </c>
      <c r="D392" t="inlineStr">
        <is>
          <t>VÄSTRA GÖTALANDS LÄN</t>
        </is>
      </c>
      <c r="E392" t="inlineStr">
        <is>
          <t>ALINGSÅS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63129-2023</t>
        </is>
      </c>
      <c r="B393" s="1" t="n">
        <v>45273</v>
      </c>
      <c r="C393" s="1" t="n">
        <v>45292</v>
      </c>
      <c r="D393" t="inlineStr">
        <is>
          <t>VÄSTRA GÖTALANDS LÄN</t>
        </is>
      </c>
      <c r="E393" t="inlineStr">
        <is>
          <t>ALINGSÅS</t>
        </is>
      </c>
      <c r="F393" t="inlineStr">
        <is>
          <t>Kommuner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63493-2023</t>
        </is>
      </c>
      <c r="B394" s="1" t="n">
        <v>45274</v>
      </c>
      <c r="C394" s="1" t="n">
        <v>45292</v>
      </c>
      <c r="D394" t="inlineStr">
        <is>
          <t>VÄSTRA GÖTALANDS LÄN</t>
        </is>
      </c>
      <c r="E394" t="inlineStr">
        <is>
          <t>ALINGSÅS</t>
        </is>
      </c>
      <c r="F394" t="inlineStr">
        <is>
          <t>Kommuner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64058-2023</t>
        </is>
      </c>
      <c r="B395" s="1" t="n">
        <v>45279</v>
      </c>
      <c r="C395" s="1" t="n">
        <v>45292</v>
      </c>
      <c r="D395" t="inlineStr">
        <is>
          <t>VÄSTRA GÖTALANDS LÄN</t>
        </is>
      </c>
      <c r="E395" t="inlineStr">
        <is>
          <t>ALINGSÅS</t>
        </is>
      </c>
      <c r="F395" t="inlineStr">
        <is>
          <t>Kommuner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64070-2023</t>
        </is>
      </c>
      <c r="B396" s="1" t="n">
        <v>45279</v>
      </c>
      <c r="C396" s="1" t="n">
        <v>45292</v>
      </c>
      <c r="D396" t="inlineStr">
        <is>
          <t>VÄSTRA GÖTALANDS LÄN</t>
        </is>
      </c>
      <c r="E396" t="inlineStr">
        <is>
          <t>ALINGSÅS</t>
        </is>
      </c>
      <c r="F396" t="inlineStr">
        <is>
          <t>Kommuner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64082-2023</t>
        </is>
      </c>
      <c r="B397" s="1" t="n">
        <v>45279</v>
      </c>
      <c r="C397" s="1" t="n">
        <v>45292</v>
      </c>
      <c r="D397" t="inlineStr">
        <is>
          <t>VÄSTRA GÖTALANDS LÄN</t>
        </is>
      </c>
      <c r="E397" t="inlineStr">
        <is>
          <t>ALINGSÅS</t>
        </is>
      </c>
      <c r="F397" t="inlineStr">
        <is>
          <t>Kommuner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64197-2023</t>
        </is>
      </c>
      <c r="B398" s="1" t="n">
        <v>45279</v>
      </c>
      <c r="C398" s="1" t="n">
        <v>45292</v>
      </c>
      <c r="D398" t="inlineStr">
        <is>
          <t>VÄSTRA GÖTALANDS LÄN</t>
        </is>
      </c>
      <c r="E398" t="inlineStr">
        <is>
          <t>ALINGSÅS</t>
        </is>
      </c>
      <c r="F398" t="inlineStr">
        <is>
          <t>Kommuner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64178-2023</t>
        </is>
      </c>
      <c r="B399" s="1" t="n">
        <v>45279</v>
      </c>
      <c r="C399" s="1" t="n">
        <v>45292</v>
      </c>
      <c r="D399" t="inlineStr">
        <is>
          <t>VÄSTRA GÖTALANDS LÄN</t>
        </is>
      </c>
      <c r="E399" t="inlineStr">
        <is>
          <t>ALINGSÅS</t>
        </is>
      </c>
      <c r="F399" t="inlineStr">
        <is>
          <t>Kommuner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64182-2023</t>
        </is>
      </c>
      <c r="B400" s="1" t="n">
        <v>45279</v>
      </c>
      <c r="C400" s="1" t="n">
        <v>45292</v>
      </c>
      <c r="D400" t="inlineStr">
        <is>
          <t>VÄSTRA GÖTALANDS LÄN</t>
        </is>
      </c>
      <c r="E400" t="inlineStr">
        <is>
          <t>ALINGSÅS</t>
        </is>
      </c>
      <c r="F400" t="inlineStr">
        <is>
          <t>Kommuner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>
      <c r="A401" t="inlineStr">
        <is>
          <t>A 64194-2023</t>
        </is>
      </c>
      <c r="B401" s="1" t="n">
        <v>45279</v>
      </c>
      <c r="C401" s="1" t="n">
        <v>45292</v>
      </c>
      <c r="D401" t="inlineStr">
        <is>
          <t>VÄSTRA GÖTALANDS LÄN</t>
        </is>
      </c>
      <c r="E401" t="inlineStr">
        <is>
          <t>ALINGSÅS</t>
        </is>
      </c>
      <c r="F401" t="inlineStr">
        <is>
          <t>Kommuner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2024-01-01T10:05:16Z</dcterms:created>
  <dcterms:modified xmlns:dcterms="http://purl.org/dc/terms/" xmlns:xsi="http://www.w3.org/2001/XMLSchema-instance" xsi:type="dcterms:W3CDTF">2024-01-01T10:05:16Z</dcterms:modified>
</cp:coreProperties>
</file>