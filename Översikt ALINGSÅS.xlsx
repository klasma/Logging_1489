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46205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1</v>
      </c>
      <c r="I2" t="n">
        <v>12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16</v>
      </c>
      <c r="R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46205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46205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46205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46205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46205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46205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Grönsångare
Kråka
Kungsfågel
Svartvit flugsnappare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  <c r="Z8">
        <f>HYPERLINK("https://klasma.github.io/Logging_1489/fåglar/A 64082-2023 prioriterade fågelarter.docx", "A 64082-2023")</f>
        <v/>
      </c>
    </row>
    <row r="9" ht="15" customHeight="1">
      <c r="A9" t="inlineStr">
        <is>
          <t>A 63493-2023</t>
        </is>
      </c>
      <c r="B9" s="1" t="n">
        <v>45274</v>
      </c>
      <c r="C9" s="1" t="n">
        <v>46205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3.7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Grönsångare
Nordfladdermus
Mattlummer
Kungsfågel</t>
        </is>
      </c>
      <c r="S9">
        <f>HYPERLINK("https://klasma.github.io/Logging_1489/artfynd/A 63493-2023 artfynd.xlsx", "A 63493-2023")</f>
        <v/>
      </c>
      <c r="T9">
        <f>HYPERLINK("https://klasma.github.io/Logging_1489/kartor/A 63493-2023 karta.png", "A 63493-2023")</f>
        <v/>
      </c>
      <c r="V9">
        <f>HYPERLINK("https://klasma.github.io/Logging_1489/klagomål/A 63493-2023 FSC-klagomål.docx", "A 63493-2023")</f>
        <v/>
      </c>
      <c r="W9">
        <f>HYPERLINK("https://klasma.github.io/Logging_1489/klagomålsmail/A 63493-2023 FSC-klagomål mail.docx", "A 63493-2023")</f>
        <v/>
      </c>
      <c r="X9">
        <f>HYPERLINK("https://klasma.github.io/Logging_1489/tillsyn/A 63493-2023 tillsynsbegäran.docx", "A 63493-2023")</f>
        <v/>
      </c>
      <c r="Y9">
        <f>HYPERLINK("https://klasma.github.io/Logging_1489/tillsynsmail/A 63493-2023 tillsynsbegäran mail.docx", "A 63493-2023")</f>
        <v/>
      </c>
      <c r="Z9">
        <f>HYPERLINK("https://klasma.github.io/Logging_1489/fåglar/A 63493-2023 prioriterade fågelarter.docx", "A 63493-2023")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46205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Sammetstaggsvamp
Dofttaggsvamp
Dropptaggsvamp
Svartvit 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21662-2024</t>
        </is>
      </c>
      <c r="B11" s="1" t="n">
        <v>45442</v>
      </c>
      <c r="C11" s="1" t="n">
        <v>46205</v>
      </c>
      <c r="D11" t="inlineStr">
        <is>
          <t>VÄSTRA GÖTALANDS LÄN</t>
        </is>
      </c>
      <c r="E11" t="inlineStr">
        <is>
          <t>ALINGSÅS</t>
        </is>
      </c>
      <c r="G11" t="n">
        <v>6.2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Göktyta
Törnskata
Ärtsångare</t>
        </is>
      </c>
      <c r="S11">
        <f>HYPERLINK("https://klasma.github.io/Logging_1489/artfynd/A 21662-2024 artfynd.xlsx", "A 21662-2024")</f>
        <v/>
      </c>
      <c r="T11">
        <f>HYPERLINK("https://klasma.github.io/Logging_1489/kartor/A 21662-2024 karta.png", "A 21662-2024")</f>
        <v/>
      </c>
      <c r="V11">
        <f>HYPERLINK("https://klasma.github.io/Logging_1489/klagomål/A 21662-2024 FSC-klagomål.docx", "A 21662-2024")</f>
        <v/>
      </c>
      <c r="W11">
        <f>HYPERLINK("https://klasma.github.io/Logging_1489/klagomålsmail/A 21662-2024 FSC-klagomål mail.docx", "A 21662-2024")</f>
        <v/>
      </c>
      <c r="X11">
        <f>HYPERLINK("https://klasma.github.io/Logging_1489/tillsyn/A 21662-2024 tillsynsbegäran.docx", "A 21662-2024")</f>
        <v/>
      </c>
      <c r="Y11">
        <f>HYPERLINK("https://klasma.github.io/Logging_1489/tillsynsmail/A 21662-2024 tillsynsbegäran mail.docx", "A 21662-2024")</f>
        <v/>
      </c>
      <c r="Z11">
        <f>HYPERLINK("https://klasma.github.io/Logging_1489/fåglar/A 21662-2024 prioriterade fågelarter.docx", "A 21662-2024")</f>
        <v/>
      </c>
    </row>
    <row r="12" ht="15" customHeight="1">
      <c r="A12" t="inlineStr">
        <is>
          <t>A 57757-2024</t>
        </is>
      </c>
      <c r="B12" s="1" t="n">
        <v>45630</v>
      </c>
      <c r="C12" s="1" t="n">
        <v>46205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Kråka
Kungsfågel
Svartvit flugsnappare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46205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Grönfink
Grönsångare
Grönsiska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46205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Jungfrulin
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24844-2026</t>
        </is>
      </c>
      <c r="B15" s="1" t="n">
        <v>46174</v>
      </c>
      <c r="C15" s="1" t="n">
        <v>46205</v>
      </c>
      <c r="D15" t="inlineStr">
        <is>
          <t>VÄSTRA GÖTALANDS LÄN</t>
        </is>
      </c>
      <c r="E15" t="inlineStr">
        <is>
          <t>ALINGSÅS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Västlig hakmossa
Spillkråka</t>
        </is>
      </c>
      <c r="S15">
        <f>HYPERLINK("https://klasma.github.io/Logging_1489/artfynd/A 24844-2026 artfynd.xlsx", "A 24844-2026")</f>
        <v/>
      </c>
      <c r="T15">
        <f>HYPERLINK("https://klasma.github.io/Logging_1489/kartor/A 24844-2026 karta.png", "A 24844-2026")</f>
        <v/>
      </c>
      <c r="V15">
        <f>HYPERLINK("https://klasma.github.io/Logging_1489/klagomål/A 24844-2026 FSC-klagomål.docx", "A 24844-2026")</f>
        <v/>
      </c>
      <c r="W15">
        <f>HYPERLINK("https://klasma.github.io/Logging_1489/klagomålsmail/A 24844-2026 FSC-klagomål mail.docx", "A 24844-2026")</f>
        <v/>
      </c>
      <c r="X15">
        <f>HYPERLINK("https://klasma.github.io/Logging_1489/tillsyn/A 24844-2026 tillsynsbegäran.docx", "A 24844-2026")</f>
        <v/>
      </c>
      <c r="Y15">
        <f>HYPERLINK("https://klasma.github.io/Logging_1489/tillsynsmail/A 24844-2026 tillsynsbegäran mail.docx", "A 24844-2026")</f>
        <v/>
      </c>
      <c r="Z15">
        <f>HYPERLINK("https://klasma.github.io/Logging_1489/fåglar/A 24844-2026 prioriterade fågelarter.docx", "A 24844-2026")</f>
        <v/>
      </c>
    </row>
    <row r="16" ht="15" customHeight="1">
      <c r="A16" t="inlineStr">
        <is>
          <t>A 27403-2026</t>
        </is>
      </c>
      <c r="B16" s="1" t="n">
        <v>46189</v>
      </c>
      <c r="C16" s="1" t="n">
        <v>46205</v>
      </c>
      <c r="D16" t="inlineStr">
        <is>
          <t>VÄSTRA GÖTALANDS LÄN</t>
        </is>
      </c>
      <c r="E16" t="inlineStr">
        <is>
          <t>ALINGSÅS</t>
        </is>
      </c>
      <c r="G16" t="n">
        <v>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Västlig hakmossa
Spillkråka</t>
        </is>
      </c>
      <c r="S16">
        <f>HYPERLINK("https://klasma.github.io/Logging_1489/artfynd/A 27403-2026 artfynd.xlsx", "A 27403-2026")</f>
        <v/>
      </c>
      <c r="T16">
        <f>HYPERLINK("https://klasma.github.io/Logging_1489/kartor/A 27403-2026 karta.png", "A 27403-2026")</f>
        <v/>
      </c>
      <c r="V16">
        <f>HYPERLINK("https://klasma.github.io/Logging_1489/klagomål/A 27403-2026 FSC-klagomål.docx", "A 27403-2026")</f>
        <v/>
      </c>
      <c r="W16">
        <f>HYPERLINK("https://klasma.github.io/Logging_1489/klagomålsmail/A 27403-2026 FSC-klagomål mail.docx", "A 27403-2026")</f>
        <v/>
      </c>
      <c r="X16">
        <f>HYPERLINK("https://klasma.github.io/Logging_1489/tillsyn/A 27403-2026 tillsynsbegäran.docx", "A 27403-2026")</f>
        <v/>
      </c>
      <c r="Y16">
        <f>HYPERLINK("https://klasma.github.io/Logging_1489/tillsynsmail/A 27403-2026 tillsynsbegäran mail.docx", "A 27403-2026")</f>
        <v/>
      </c>
      <c r="Z16">
        <f>HYPERLINK("https://klasma.github.io/Logging_1489/fåglar/A 27403-2026 prioriterade fågelarter.docx", "A 27403-2026")</f>
        <v/>
      </c>
    </row>
    <row r="17" ht="15" customHeight="1">
      <c r="A17" t="inlineStr">
        <is>
          <t>A 51909-2024</t>
        </is>
      </c>
      <c r="B17" s="1" t="n">
        <v>45607</v>
      </c>
      <c r="C17" s="1" t="n">
        <v>46205</v>
      </c>
      <c r="D17" t="inlineStr">
        <is>
          <t>VÄSTRA GÖTALANDS LÄN</t>
        </is>
      </c>
      <c r="E17" t="inlineStr">
        <is>
          <t>ALINGSÅS</t>
        </is>
      </c>
      <c r="G17" t="n">
        <v>2.5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Strandlummer
Större träfjäril</t>
        </is>
      </c>
      <c r="S17">
        <f>HYPERLINK("https://klasma.github.io/Logging_1489/artfynd/A 51909-2024 artfynd.xlsx", "A 51909-2024")</f>
        <v/>
      </c>
      <c r="T17">
        <f>HYPERLINK("https://klasma.github.io/Logging_1489/kartor/A 51909-2024 karta.png", "A 51909-2024")</f>
        <v/>
      </c>
      <c r="V17">
        <f>HYPERLINK("https://klasma.github.io/Logging_1489/klagomål/A 51909-2024 FSC-klagomål.docx", "A 51909-2024")</f>
        <v/>
      </c>
      <c r="W17">
        <f>HYPERLINK("https://klasma.github.io/Logging_1489/klagomålsmail/A 51909-2024 FSC-klagomål mail.docx", "A 51909-2024")</f>
        <v/>
      </c>
      <c r="X17">
        <f>HYPERLINK("https://klasma.github.io/Logging_1489/tillsyn/A 51909-2024 tillsynsbegäran.docx", "A 51909-2024")</f>
        <v/>
      </c>
      <c r="Y17">
        <f>HYPERLINK("https://klasma.github.io/Logging_1489/tillsynsmail/A 51909-2024 tillsynsbegäran mail.docx", "A 51909-2024")</f>
        <v/>
      </c>
    </row>
    <row r="18" ht="15" customHeight="1">
      <c r="A18" t="inlineStr">
        <is>
          <t>A 64182-2023</t>
        </is>
      </c>
      <c r="B18" s="1" t="n">
        <v>45279</v>
      </c>
      <c r="C18" s="1" t="n">
        <v>46205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  <c r="Z18">
        <f>HYPERLINK("https://klasma.github.io/Logging_1489/fåglar/A 64182-2023 prioriterade fågelarter.docx", "A 64182-2023")</f>
        <v/>
      </c>
    </row>
    <row r="19" ht="15" customHeight="1">
      <c r="A19" t="inlineStr">
        <is>
          <t>A 57759-2024</t>
        </is>
      </c>
      <c r="B19" s="1" t="n">
        <v>45630</v>
      </c>
      <c r="C19" s="1" t="n">
        <v>46205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Spillkråka
Kungsfågel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4187-2026</t>
        </is>
      </c>
      <c r="B20" s="1" t="n">
        <v>46044</v>
      </c>
      <c r="C20" s="1" t="n">
        <v>46205</v>
      </c>
      <c r="D20" t="inlineStr">
        <is>
          <t>VÄSTRA GÖTALANDS LÄN</t>
        </is>
      </c>
      <c r="E20" t="inlineStr">
        <is>
          <t>ALINGSÅS</t>
        </is>
      </c>
      <c r="G20" t="n">
        <v>5.9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Vågbandad barkbock
Nattskärra</t>
        </is>
      </c>
      <c r="S20">
        <f>HYPERLINK("https://klasma.github.io/Logging_1489/artfynd/A 4187-2026 artfynd.xlsx", "A 4187-2026")</f>
        <v/>
      </c>
      <c r="T20">
        <f>HYPERLINK("https://klasma.github.io/Logging_1489/kartor/A 4187-2026 karta.png", "A 4187-2026")</f>
        <v/>
      </c>
      <c r="V20">
        <f>HYPERLINK("https://klasma.github.io/Logging_1489/klagomål/A 4187-2026 FSC-klagomål.docx", "A 4187-2026")</f>
        <v/>
      </c>
      <c r="W20">
        <f>HYPERLINK("https://klasma.github.io/Logging_1489/klagomålsmail/A 4187-2026 FSC-klagomål mail.docx", "A 4187-2026")</f>
        <v/>
      </c>
      <c r="X20">
        <f>HYPERLINK("https://klasma.github.io/Logging_1489/tillsyn/A 4187-2026 tillsynsbegäran.docx", "A 4187-2026")</f>
        <v/>
      </c>
      <c r="Y20">
        <f>HYPERLINK("https://klasma.github.io/Logging_1489/tillsynsmail/A 4187-2026 tillsynsbegäran mail.docx", "A 4187-2026")</f>
        <v/>
      </c>
      <c r="Z20">
        <f>HYPERLINK("https://klasma.github.io/Logging_1489/fåglar/A 4187-2026 prioriterade fågelarter.docx", "A 4187-2026")</f>
        <v/>
      </c>
    </row>
    <row r="21" ht="15" customHeight="1">
      <c r="A21" t="inlineStr">
        <is>
          <t>A 62603-2023</t>
        </is>
      </c>
      <c r="B21" s="1" t="n">
        <v>45271</v>
      </c>
      <c r="C21" s="1" t="n">
        <v>46205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Kyrkan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HYPERLINK("https://klasma.github.io/Logging_1489/artfynd/A 62603-2023 artfynd.xlsx", "A 62603-2023")</f>
        <v/>
      </c>
      <c r="T21">
        <f>HYPERLINK("https://klasma.github.io/Logging_1489/kartor/A 62603-2023 karta.png", "A 62603-2023")</f>
        <v/>
      </c>
      <c r="V21">
        <f>HYPERLINK("https://klasma.github.io/Logging_1489/klagomål/A 62603-2023 FSC-klagomål.docx", "A 62603-2023")</f>
        <v/>
      </c>
      <c r="W21">
        <f>HYPERLINK("https://klasma.github.io/Logging_1489/klagomålsmail/A 62603-2023 FSC-klagomål mail.docx", "A 62603-2023")</f>
        <v/>
      </c>
      <c r="X21">
        <f>HYPERLINK("https://klasma.github.io/Logging_1489/tillsyn/A 62603-2023 tillsynsbegäran.docx", "A 62603-2023")</f>
        <v/>
      </c>
      <c r="Y21">
        <f>HYPERLINK("https://klasma.github.io/Logging_1489/tillsynsmail/A 62603-2023 tillsynsbegäran mail.docx", "A 62603-2023")</f>
        <v/>
      </c>
      <c r="Z21">
        <f>HYPERLINK("https://klasma.github.io/Logging_1489/fåglar/A 62603-2023 prioriterade fågelarter.docx", "A 62603-2023")</f>
        <v/>
      </c>
    </row>
    <row r="22" ht="15" customHeight="1">
      <c r="A22" t="inlineStr">
        <is>
          <t>A 51927-2024</t>
        </is>
      </c>
      <c r="B22" s="1" t="n">
        <v>45607</v>
      </c>
      <c r="C22" s="1" t="n">
        <v>46205</v>
      </c>
      <c r="D22" t="inlineStr">
        <is>
          <t>VÄSTRA GÖTALANDS LÄN</t>
        </is>
      </c>
      <c r="E22" t="inlineStr">
        <is>
          <t>ALINGSÅS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HYPERLINK("https://klasma.github.io/Logging_1489/artfynd/A 51927-2024 artfynd.xlsx", "A 51927-2024")</f>
        <v/>
      </c>
      <c r="T22">
        <f>HYPERLINK("https://klasma.github.io/Logging_1489/kartor/A 51927-2024 karta.png", "A 51927-2024")</f>
        <v/>
      </c>
      <c r="V22">
        <f>HYPERLINK("https://klasma.github.io/Logging_1489/klagomål/A 51927-2024 FSC-klagomål.docx", "A 51927-2024")</f>
        <v/>
      </c>
      <c r="W22">
        <f>HYPERLINK("https://klasma.github.io/Logging_1489/klagomålsmail/A 51927-2024 FSC-klagomål mail.docx", "A 51927-2024")</f>
        <v/>
      </c>
      <c r="X22">
        <f>HYPERLINK("https://klasma.github.io/Logging_1489/tillsyn/A 51927-2024 tillsynsbegäran.docx", "A 51927-2024")</f>
        <v/>
      </c>
      <c r="Y22">
        <f>HYPERLINK("https://klasma.github.io/Logging_1489/tillsynsmail/A 51927-2024 tillsynsbegäran mail.docx", "A 51927-2024")</f>
        <v/>
      </c>
    </row>
    <row r="23" ht="15" customHeight="1">
      <c r="A23" t="inlineStr">
        <is>
          <t>A 10542-2024</t>
        </is>
      </c>
      <c r="B23" s="1" t="n">
        <v>45366</v>
      </c>
      <c r="C23" s="1" t="n">
        <v>46205</v>
      </c>
      <c r="D23" t="inlineStr">
        <is>
          <t>VÄSTRA GÖTALANDS LÄN</t>
        </is>
      </c>
      <c r="E23" t="inlineStr">
        <is>
          <t>ALINGSÅS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HYPERLINK("https://klasma.github.io/Logging_1489/artfynd/A 10542-2024 artfynd.xlsx", "A 10542-2024")</f>
        <v/>
      </c>
      <c r="T23">
        <f>HYPERLINK("https://klasma.github.io/Logging_1489/kartor/A 10542-2024 karta.png", "A 10542-2024")</f>
        <v/>
      </c>
      <c r="V23">
        <f>HYPERLINK("https://klasma.github.io/Logging_1489/klagomål/A 10542-2024 FSC-klagomål.docx", "A 10542-2024")</f>
        <v/>
      </c>
      <c r="W23">
        <f>HYPERLINK("https://klasma.github.io/Logging_1489/klagomålsmail/A 10542-2024 FSC-klagomål mail.docx", "A 10542-2024")</f>
        <v/>
      </c>
      <c r="X23">
        <f>HYPERLINK("https://klasma.github.io/Logging_1489/tillsyn/A 10542-2024 tillsynsbegäran.docx", "A 10542-2024")</f>
        <v/>
      </c>
      <c r="Y23">
        <f>HYPERLINK("https://klasma.github.io/Logging_1489/tillsynsmail/A 10542-2024 tillsynsbegäran mail.docx", "A 10542-2024")</f>
        <v/>
      </c>
    </row>
    <row r="24" ht="15" customHeight="1">
      <c r="A24" t="inlineStr">
        <is>
          <t>A 39240-2025</t>
        </is>
      </c>
      <c r="B24" s="1" t="n">
        <v>45889</v>
      </c>
      <c r="C24" s="1" t="n">
        <v>46205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39240-2025 artfynd.xlsx", "A 39240-2025")</f>
        <v/>
      </c>
      <c r="T24">
        <f>HYPERLINK("https://klasma.github.io/Logging_1489/kartor/A 39240-2025 karta.png", "A 39240-2025")</f>
        <v/>
      </c>
      <c r="U24">
        <f>HYPERLINK("https://klasma.github.io/Logging_1489/knärot/A 39240-2025 karta knärot.png", "A 39240-2025")</f>
        <v/>
      </c>
      <c r="V24">
        <f>HYPERLINK("https://klasma.github.io/Logging_1489/klagomål/A 39240-2025 FSC-klagomål.docx", "A 39240-2025")</f>
        <v/>
      </c>
      <c r="W24">
        <f>HYPERLINK("https://klasma.github.io/Logging_1489/klagomålsmail/A 39240-2025 FSC-klagomål mail.docx", "A 39240-2025")</f>
        <v/>
      </c>
      <c r="X24">
        <f>HYPERLINK("https://klasma.github.io/Logging_1489/tillsyn/A 39240-2025 tillsynsbegäran.docx", "A 39240-2025")</f>
        <v/>
      </c>
      <c r="Y24">
        <f>HYPERLINK("https://klasma.github.io/Logging_1489/tillsynsmail/A 39240-2025 tillsynsbegäran mail.docx", "A 39240-2025")</f>
        <v/>
      </c>
    </row>
    <row r="25" ht="15" customHeight="1">
      <c r="A25" t="inlineStr">
        <is>
          <t>A 4205-2026</t>
        </is>
      </c>
      <c r="B25" s="1" t="n">
        <v>46044</v>
      </c>
      <c r="C25" s="1" t="n">
        <v>46205</v>
      </c>
      <c r="D25" t="inlineStr">
        <is>
          <t>VÄSTRA GÖTALANDS LÄN</t>
        </is>
      </c>
      <c r="E25" t="inlineStr">
        <is>
          <t>ALINGSÅS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4205-2026 artfynd.xlsx", "A 4205-2026")</f>
        <v/>
      </c>
      <c r="T25">
        <f>HYPERLINK("https://klasma.github.io/Logging_1489/kartor/A 4205-2026 karta.png", "A 4205-2026")</f>
        <v/>
      </c>
      <c r="V25">
        <f>HYPERLINK("https://klasma.github.io/Logging_1489/klagomål/A 4205-2026 FSC-klagomål.docx", "A 4205-2026")</f>
        <v/>
      </c>
      <c r="W25">
        <f>HYPERLINK("https://klasma.github.io/Logging_1489/klagomålsmail/A 4205-2026 FSC-klagomål mail.docx", "A 4205-2026")</f>
        <v/>
      </c>
      <c r="X25">
        <f>HYPERLINK("https://klasma.github.io/Logging_1489/tillsyn/A 4205-2026 tillsynsbegäran.docx", "A 4205-2026")</f>
        <v/>
      </c>
      <c r="Y25">
        <f>HYPERLINK("https://klasma.github.io/Logging_1489/tillsynsmail/A 4205-2026 tillsynsbegäran mail.docx", "A 4205-2026")</f>
        <v/>
      </c>
      <c r="Z25">
        <f>HYPERLINK("https://klasma.github.io/Logging_1489/fåglar/A 4205-2026 prioriterade fågelarter.docx", "A 4205-2026")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46205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27283-2025</t>
        </is>
      </c>
      <c r="B27" s="1" t="n">
        <v>45812</v>
      </c>
      <c r="C27" s="1" t="n">
        <v>46205</v>
      </c>
      <c r="D27" t="inlineStr">
        <is>
          <t>VÄSTRA GÖTALANDS LÄN</t>
        </is>
      </c>
      <c r="E27" t="inlineStr">
        <is>
          <t>ALINGSÅS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HYPERLINK("https://klasma.github.io/Logging_1489/artfynd/A 27283-2025 artfynd.xlsx", "A 27283-2025")</f>
        <v/>
      </c>
      <c r="T27">
        <f>HYPERLINK("https://klasma.github.io/Logging_1489/kartor/A 27283-2025 karta.png", "A 27283-2025")</f>
        <v/>
      </c>
      <c r="V27">
        <f>HYPERLINK("https://klasma.github.io/Logging_1489/klagomål/A 27283-2025 FSC-klagomål.docx", "A 27283-2025")</f>
        <v/>
      </c>
      <c r="W27">
        <f>HYPERLINK("https://klasma.github.io/Logging_1489/klagomålsmail/A 27283-2025 FSC-klagomål mail.docx", "A 27283-2025")</f>
        <v/>
      </c>
      <c r="X27">
        <f>HYPERLINK("https://klasma.github.io/Logging_1489/tillsyn/A 27283-2025 tillsynsbegäran.docx", "A 27283-2025")</f>
        <v/>
      </c>
      <c r="Y27">
        <f>HYPERLINK("https://klasma.github.io/Logging_1489/tillsynsmail/A 27283-2025 tillsynsbegäran mail.docx", "A 27283-2025")</f>
        <v/>
      </c>
    </row>
    <row r="28" ht="15" customHeight="1">
      <c r="A28" t="inlineStr">
        <is>
          <t>A 15986-2026</t>
        </is>
      </c>
      <c r="B28" s="1" t="n">
        <v>46108</v>
      </c>
      <c r="C28" s="1" t="n">
        <v>46205</v>
      </c>
      <c r="D28" t="inlineStr">
        <is>
          <t>VÄSTRA GÖTALANDS LÄN</t>
        </is>
      </c>
      <c r="E28" t="inlineStr">
        <is>
          <t>ALINGSÅS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HYPERLINK("https://klasma.github.io/Logging_1489/artfynd/A 15986-2026 artfynd.xlsx", "A 15986-2026")</f>
        <v/>
      </c>
      <c r="T28">
        <f>HYPERLINK("https://klasma.github.io/Logging_1489/kartor/A 15986-2026 karta.png", "A 15986-2026")</f>
        <v/>
      </c>
      <c r="V28">
        <f>HYPERLINK("https://klasma.github.io/Logging_1489/klagomål/A 15986-2026 FSC-klagomål.docx", "A 15986-2026")</f>
        <v/>
      </c>
      <c r="W28">
        <f>HYPERLINK("https://klasma.github.io/Logging_1489/klagomålsmail/A 15986-2026 FSC-klagomål mail.docx", "A 15986-2026")</f>
        <v/>
      </c>
      <c r="X28">
        <f>HYPERLINK("https://klasma.github.io/Logging_1489/tillsyn/A 15986-2026 tillsynsbegäran.docx", "A 15986-2026")</f>
        <v/>
      </c>
      <c r="Y28">
        <f>HYPERLINK("https://klasma.github.io/Logging_1489/tillsynsmail/A 15986-2026 tillsynsbegäran mail.docx", "A 15986-2026")</f>
        <v/>
      </c>
    </row>
    <row r="29" ht="15" customHeight="1">
      <c r="A29" t="inlineStr">
        <is>
          <t>A 37537-2024</t>
        </is>
      </c>
      <c r="B29" s="1" t="n">
        <v>45541</v>
      </c>
      <c r="C29" s="1" t="n">
        <v>46205</v>
      </c>
      <c r="D29" t="inlineStr">
        <is>
          <t>VÄSTRA GÖTALANDS LÄN</t>
        </is>
      </c>
      <c r="E29" t="inlineStr">
        <is>
          <t>ALINGSÅS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HYPERLINK("https://klasma.github.io/Logging_1489/artfynd/A 37537-2024 artfynd.xlsx", "A 37537-2024")</f>
        <v/>
      </c>
      <c r="T29">
        <f>HYPERLINK("https://klasma.github.io/Logging_1489/kartor/A 37537-2024 karta.png", "A 37537-2024")</f>
        <v/>
      </c>
      <c r="V29">
        <f>HYPERLINK("https://klasma.github.io/Logging_1489/klagomål/A 37537-2024 FSC-klagomål.docx", "A 37537-2024")</f>
        <v/>
      </c>
      <c r="W29">
        <f>HYPERLINK("https://klasma.github.io/Logging_1489/klagomålsmail/A 37537-2024 FSC-klagomål mail.docx", "A 37537-2024")</f>
        <v/>
      </c>
      <c r="X29">
        <f>HYPERLINK("https://klasma.github.io/Logging_1489/tillsyn/A 37537-2024 tillsynsbegäran.docx", "A 37537-2024")</f>
        <v/>
      </c>
      <c r="Y29">
        <f>HYPERLINK("https://klasma.github.io/Logging_1489/tillsynsmail/A 37537-2024 tillsynsbegäran mail.docx", "A 37537-2024")</f>
        <v/>
      </c>
    </row>
    <row r="30" ht="15" customHeight="1">
      <c r="A30" t="inlineStr">
        <is>
          <t>A 5383-2024</t>
        </is>
      </c>
      <c r="B30" s="1" t="n">
        <v>45330</v>
      </c>
      <c r="C30" s="1" t="n">
        <v>46205</v>
      </c>
      <c r="D30" t="inlineStr">
        <is>
          <t>VÄSTRA GÖTALANDS LÄN</t>
        </is>
      </c>
      <c r="E30" t="inlineStr">
        <is>
          <t>ALINGSÅS</t>
        </is>
      </c>
      <c r="F30" t="inlineStr">
        <is>
          <t>Övriga Aktiebolag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HYPERLINK("https://klasma.github.io/Logging_1489/artfynd/A 5383-2024 artfynd.xlsx", "A 5383-2024")</f>
        <v/>
      </c>
      <c r="T30">
        <f>HYPERLINK("https://klasma.github.io/Logging_1489/kartor/A 5383-2024 karta.png", "A 5383-2024")</f>
        <v/>
      </c>
      <c r="V30">
        <f>HYPERLINK("https://klasma.github.io/Logging_1489/klagomål/A 5383-2024 FSC-klagomål.docx", "A 5383-2024")</f>
        <v/>
      </c>
      <c r="W30">
        <f>HYPERLINK("https://klasma.github.io/Logging_1489/klagomålsmail/A 5383-2024 FSC-klagomål mail.docx", "A 5383-2024")</f>
        <v/>
      </c>
      <c r="X30">
        <f>HYPERLINK("https://klasma.github.io/Logging_1489/tillsyn/A 5383-2024 tillsynsbegäran.docx", "A 5383-2024")</f>
        <v/>
      </c>
      <c r="Y30">
        <f>HYPERLINK("https://klasma.github.io/Logging_1489/tillsynsmail/A 5383-2024 tillsynsbegäran mail.docx", "A 5383-2024")</f>
        <v/>
      </c>
    </row>
    <row r="31" ht="15" customHeight="1">
      <c r="A31" t="inlineStr">
        <is>
          <t>A 59881-2024</t>
        </is>
      </c>
      <c r="B31" s="1" t="n">
        <v>45640</v>
      </c>
      <c r="C31" s="1" t="n">
        <v>46205</v>
      </c>
      <c r="D31" t="inlineStr">
        <is>
          <t>VÄSTRA GÖTALANDS LÄN</t>
        </is>
      </c>
      <c r="E31" t="inlineStr">
        <is>
          <t>ALINGSÅS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HYPERLINK("https://klasma.github.io/Logging_1489/artfynd/A 59881-2024 artfynd.xlsx", "A 59881-2024")</f>
        <v/>
      </c>
      <c r="T31">
        <f>HYPERLINK("https://klasma.github.io/Logging_1489/kartor/A 59881-2024 karta.png", "A 59881-2024")</f>
        <v/>
      </c>
      <c r="V31">
        <f>HYPERLINK("https://klasma.github.io/Logging_1489/klagomål/A 59881-2024 FSC-klagomål.docx", "A 59881-2024")</f>
        <v/>
      </c>
      <c r="W31">
        <f>HYPERLINK("https://klasma.github.io/Logging_1489/klagomålsmail/A 59881-2024 FSC-klagomål mail.docx", "A 59881-2024")</f>
        <v/>
      </c>
      <c r="X31">
        <f>HYPERLINK("https://klasma.github.io/Logging_1489/tillsyn/A 59881-2024 tillsynsbegäran.docx", "A 59881-2024")</f>
        <v/>
      </c>
      <c r="Y31">
        <f>HYPERLINK("https://klasma.github.io/Logging_1489/tillsynsmail/A 59881-2024 tillsynsbegäran mail.docx", "A 59881-2024")</f>
        <v/>
      </c>
    </row>
    <row r="32" ht="15" customHeight="1">
      <c r="A32" t="inlineStr">
        <is>
          <t>A 68899-2021</t>
        </is>
      </c>
      <c r="B32" s="1" t="n">
        <v>44530</v>
      </c>
      <c r="C32" s="1" t="n">
        <v>46205</v>
      </c>
      <c r="D32" t="inlineStr">
        <is>
          <t>VÄSTRA GÖTALANDS LÄN</t>
        </is>
      </c>
      <c r="E32" t="inlineStr">
        <is>
          <t>ALINGSÅS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10999-2022</t>
        </is>
      </c>
      <c r="B33" s="1" t="n">
        <v>44628</v>
      </c>
      <c r="C33" s="1" t="n">
        <v>46205</v>
      </c>
      <c r="D33" t="inlineStr">
        <is>
          <t>VÄSTRA GÖTALANDS LÄN</t>
        </is>
      </c>
      <c r="E33" t="inlineStr">
        <is>
          <t>ALINGSÅS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8777-2022</t>
        </is>
      </c>
      <c r="B34" s="1" t="n">
        <v>44614</v>
      </c>
      <c r="C34" s="1" t="n">
        <v>46205</v>
      </c>
      <c r="D34" t="inlineStr">
        <is>
          <t>VÄSTRA GÖTALANDS LÄN</t>
        </is>
      </c>
      <c r="E34" t="inlineStr">
        <is>
          <t>ALINGSÅS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42620-2022</t>
        </is>
      </c>
      <c r="B35" s="1" t="n">
        <v>44831</v>
      </c>
      <c r="C35" s="1" t="n">
        <v>46205</v>
      </c>
      <c r="D35" t="inlineStr">
        <is>
          <t>VÄSTRA GÖTALANDS LÄN</t>
        </is>
      </c>
      <c r="E35" t="inlineStr">
        <is>
          <t>ALINGSÅS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29559-2022</t>
        </is>
      </c>
      <c r="B36" s="1" t="n">
        <v>44754</v>
      </c>
      <c r="C36" s="1" t="n">
        <v>46205</v>
      </c>
      <c r="D36" t="inlineStr">
        <is>
          <t>VÄSTRA GÖTALANDS LÄN</t>
        </is>
      </c>
      <c r="E36" t="inlineStr">
        <is>
          <t>ALINGSÅS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42451-2021</t>
        </is>
      </c>
      <c r="B37" s="1" t="n">
        <v>44427</v>
      </c>
      <c r="C37" s="1" t="n">
        <v>46205</v>
      </c>
      <c r="D37" t="inlineStr">
        <is>
          <t>VÄSTRA GÖTALANDS LÄN</t>
        </is>
      </c>
      <c r="E37" t="inlineStr">
        <is>
          <t>ALINGSÅS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12313-2022</t>
        </is>
      </c>
      <c r="B38" s="1" t="n">
        <v>44637</v>
      </c>
      <c r="C38" s="1" t="n">
        <v>46205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21732-2022</t>
        </is>
      </c>
      <c r="B39" s="1" t="n">
        <v>44708</v>
      </c>
      <c r="C39" s="1" t="n">
        <v>46205</v>
      </c>
      <c r="D39" t="inlineStr">
        <is>
          <t>VÄSTRA GÖTALANDS LÄN</t>
        </is>
      </c>
      <c r="E39" t="inlineStr">
        <is>
          <t>ALINGSÅS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46205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46205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46205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46205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37512-2022</t>
        </is>
      </c>
      <c r="B44" s="1" t="n">
        <v>44809</v>
      </c>
      <c r="C44" s="1" t="n">
        <v>46205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46205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1105-2022</t>
        </is>
      </c>
      <c r="B46" s="1" t="n">
        <v>44572</v>
      </c>
      <c r="C46" s="1" t="n">
        <v>46205</v>
      </c>
      <c r="D46" t="inlineStr">
        <is>
          <t>VÄSTRA GÖTALANDS LÄN</t>
        </is>
      </c>
      <c r="E46" t="inlineStr">
        <is>
          <t>ALINGSÅS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47187-2021</t>
        </is>
      </c>
      <c r="B47" s="1" t="n">
        <v>44447</v>
      </c>
      <c r="C47" s="1" t="n">
        <v>46205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</v>
      </c>
      <c r="C48" s="1" t="n">
        <v>46205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64211-2021</t>
        </is>
      </c>
      <c r="B49" s="1" t="n">
        <v>44510</v>
      </c>
      <c r="C49" s="1" t="n">
        <v>46205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46205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46205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60657-2021</t>
        </is>
      </c>
      <c r="B52" s="1" t="n">
        <v>44496</v>
      </c>
      <c r="C52" s="1" t="n">
        <v>46205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70426-2021</t>
        </is>
      </c>
      <c r="B53" s="1" t="n">
        <v>44536</v>
      </c>
      <c r="C53" s="1" t="n">
        <v>46205</v>
      </c>
      <c r="D53" t="inlineStr">
        <is>
          <t>VÄSTRA GÖTALANDS LÄN</t>
        </is>
      </c>
      <c r="E53" t="inlineStr">
        <is>
          <t>ALINGSÅS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73187-2021</t>
        </is>
      </c>
      <c r="B54" s="1" t="n">
        <v>44550</v>
      </c>
      <c r="C54" s="1" t="n">
        <v>46205</v>
      </c>
      <c r="D54" t="inlineStr">
        <is>
          <t>VÄSTRA GÖTALANDS LÄN</t>
        </is>
      </c>
      <c r="E54" t="inlineStr">
        <is>
          <t>ALINGSÅS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51167-2021</t>
        </is>
      </c>
      <c r="B55" s="1" t="n">
        <v>44461</v>
      </c>
      <c r="C55" s="1" t="n">
        <v>46205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46205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46205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46205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</v>
      </c>
      <c r="C59" s="1" t="n">
        <v>46205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</v>
      </c>
      <c r="C60" s="1" t="n">
        <v>46205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12884-2022</t>
        </is>
      </c>
      <c r="B61" s="1" t="n">
        <v>44642</v>
      </c>
      <c r="C61" s="1" t="n">
        <v>46205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24464-2022</t>
        </is>
      </c>
      <c r="B62" s="1" t="n">
        <v>44726</v>
      </c>
      <c r="C62" s="1" t="n">
        <v>46205</v>
      </c>
      <c r="D62" t="inlineStr">
        <is>
          <t>VÄSTRA GÖTALANDS LÄN</t>
        </is>
      </c>
      <c r="E62" t="inlineStr">
        <is>
          <t>ALINGSÅS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12322-2024</t>
        </is>
      </c>
      <c r="B63" s="1" t="n">
        <v>45378</v>
      </c>
      <c r="C63" s="1" t="n">
        <v>46205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16117-2024</t>
        </is>
      </c>
      <c r="B64" s="1" t="n">
        <v>45406</v>
      </c>
      <c r="C64" s="1" t="n">
        <v>46205</v>
      </c>
      <c r="D64" t="inlineStr">
        <is>
          <t>VÄSTRA GÖTALANDS LÄN</t>
        </is>
      </c>
      <c r="E64" t="inlineStr">
        <is>
          <t>ALINGSÅS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4661-2025</t>
        </is>
      </c>
      <c r="B65" s="1" t="n">
        <v>45687</v>
      </c>
      <c r="C65" s="1" t="n">
        <v>46205</v>
      </c>
      <c r="D65" t="inlineStr">
        <is>
          <t>VÄSTRA GÖTALANDS LÄN</t>
        </is>
      </c>
      <c r="E65" t="inlineStr">
        <is>
          <t>ALINGSÅS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42865-2022</t>
        </is>
      </c>
      <c r="B66" s="1" t="n">
        <v>44832</v>
      </c>
      <c r="C66" s="1" t="n">
        <v>46205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51178-2023</t>
        </is>
      </c>
      <c r="B67" s="1" t="n">
        <v>45219</v>
      </c>
      <c r="C67" s="1" t="n">
        <v>46205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15006-2024</t>
        </is>
      </c>
      <c r="B68" s="1" t="n">
        <v>45399</v>
      </c>
      <c r="C68" s="1" t="n">
        <v>46205</v>
      </c>
      <c r="D68" t="inlineStr">
        <is>
          <t>VÄSTRA GÖTALANDS LÄN</t>
        </is>
      </c>
      <c r="E68" t="inlineStr">
        <is>
          <t>ALINGSÅS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46883-2021</t>
        </is>
      </c>
      <c r="B69" s="1" t="n">
        <v>44446</v>
      </c>
      <c r="C69" s="1" t="n">
        <v>46205</v>
      </c>
      <c r="D69" t="inlineStr">
        <is>
          <t>VÄSTRA GÖTALANDS LÄN</t>
        </is>
      </c>
      <c r="E69" t="inlineStr">
        <is>
          <t>ALINGSÅS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47960-2022</t>
        </is>
      </c>
      <c r="B70" s="1" t="n">
        <v>44855</v>
      </c>
      <c r="C70" s="1" t="n">
        <v>46205</v>
      </c>
      <c r="D70" t="inlineStr">
        <is>
          <t>VÄSTRA GÖTALANDS LÄN</t>
        </is>
      </c>
      <c r="E70" t="inlineStr">
        <is>
          <t>ALINGSÅS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12600-2024</t>
        </is>
      </c>
      <c r="B71" s="1" t="n">
        <v>45380</v>
      </c>
      <c r="C71" s="1" t="n">
        <v>46205</v>
      </c>
      <c r="D71" t="inlineStr">
        <is>
          <t>VÄSTRA GÖTALANDS LÄN</t>
        </is>
      </c>
      <c r="E71" t="inlineStr">
        <is>
          <t>ALINGSÅS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59925-2023</t>
        </is>
      </c>
      <c r="B72" s="1" t="n">
        <v>45257</v>
      </c>
      <c r="C72" s="1" t="n">
        <v>46205</v>
      </c>
      <c r="D72" t="inlineStr">
        <is>
          <t>VÄSTRA GÖTALANDS LÄN</t>
        </is>
      </c>
      <c r="E72" t="inlineStr">
        <is>
          <t>ALINGSÅS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46491-2021</t>
        </is>
      </c>
      <c r="B73" s="1" t="n">
        <v>44445</v>
      </c>
      <c r="C73" s="1" t="n">
        <v>46205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25749-2024</t>
        </is>
      </c>
      <c r="B74" s="1" t="n">
        <v>45465</v>
      </c>
      <c r="C74" s="1" t="n">
        <v>46205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62678-2023</t>
        </is>
      </c>
      <c r="B75" s="1" t="n">
        <v>45271</v>
      </c>
      <c r="C75" s="1" t="n">
        <v>46205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25744-2024</t>
        </is>
      </c>
      <c r="B76" s="1" t="n">
        <v>45465</v>
      </c>
      <c r="C76" s="1" t="n">
        <v>46205</v>
      </c>
      <c r="D76" t="inlineStr">
        <is>
          <t>VÄSTRA GÖTALANDS LÄN</t>
        </is>
      </c>
      <c r="E76" t="inlineStr">
        <is>
          <t>ALINGSÅS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25748-2024</t>
        </is>
      </c>
      <c r="B77" s="1" t="n">
        <v>45465</v>
      </c>
      <c r="C77" s="1" t="n">
        <v>46205</v>
      </c>
      <c r="D77" t="inlineStr">
        <is>
          <t>VÄSTRA GÖTALANDS LÄN</t>
        </is>
      </c>
      <c r="E77" t="inlineStr">
        <is>
          <t>ALINGSÅS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25743-2024</t>
        </is>
      </c>
      <c r="B78" s="1" t="n">
        <v>45465</v>
      </c>
      <c r="C78" s="1" t="n">
        <v>46205</v>
      </c>
      <c r="D78" t="inlineStr">
        <is>
          <t>VÄSTRA GÖTALANDS LÄN</t>
        </is>
      </c>
      <c r="E78" t="inlineStr">
        <is>
          <t>ALINGSÅS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56752-2023</t>
        </is>
      </c>
      <c r="B79" s="1" t="n">
        <v>45244</v>
      </c>
      <c r="C79" s="1" t="n">
        <v>46205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58990-2022</t>
        </is>
      </c>
      <c r="B80" s="1" t="n">
        <v>44903</v>
      </c>
      <c r="C80" s="1" t="n">
        <v>46205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4806-2023</t>
        </is>
      </c>
      <c r="B81" s="1" t="n">
        <v>44957</v>
      </c>
      <c r="C81" s="1" t="n">
        <v>46205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26164-2024</t>
        </is>
      </c>
      <c r="B82" s="1" t="n">
        <v>45468</v>
      </c>
      <c r="C82" s="1" t="n">
        <v>46205</v>
      </c>
      <c r="D82" t="inlineStr">
        <is>
          <t>VÄSTRA GÖTALANDS LÄN</t>
        </is>
      </c>
      <c r="E82" t="inlineStr">
        <is>
          <t>ALINGSÅS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57489-2022</t>
        </is>
      </c>
      <c r="B83" s="1" t="n">
        <v>44896</v>
      </c>
      <c r="C83" s="1" t="n">
        <v>46205</v>
      </c>
      <c r="D83" t="inlineStr">
        <is>
          <t>VÄSTRA GÖTALANDS LÄN</t>
        </is>
      </c>
      <c r="E83" t="inlineStr">
        <is>
          <t>ALINGSÅS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32026-2024</t>
        </is>
      </c>
      <c r="B84" s="1" t="n">
        <v>45510</v>
      </c>
      <c r="C84" s="1" t="n">
        <v>46205</v>
      </c>
      <c r="D84" t="inlineStr">
        <is>
          <t>VÄSTRA GÖTALANDS LÄN</t>
        </is>
      </c>
      <c r="E84" t="inlineStr">
        <is>
          <t>ALINGSÅS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25897-2025</t>
        </is>
      </c>
      <c r="B85" s="1" t="n">
        <v>45804</v>
      </c>
      <c r="C85" s="1" t="n">
        <v>46205</v>
      </c>
      <c r="D85" t="inlineStr">
        <is>
          <t>VÄSTRA GÖTALANDS LÄN</t>
        </is>
      </c>
      <c r="E85" t="inlineStr">
        <is>
          <t>ALINGSÅS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25562-2025</t>
        </is>
      </c>
      <c r="B86" s="1" t="n">
        <v>45803</v>
      </c>
      <c r="C86" s="1" t="n">
        <v>46205</v>
      </c>
      <c r="D86" t="inlineStr">
        <is>
          <t>VÄSTRA GÖTALANDS LÄN</t>
        </is>
      </c>
      <c r="E86" t="inlineStr">
        <is>
          <t>ALINGSÅS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6120-2023</t>
        </is>
      </c>
      <c r="B87" s="1" t="n">
        <v>44964</v>
      </c>
      <c r="C87" s="1" t="n">
        <v>46205</v>
      </c>
      <c r="D87" t="inlineStr">
        <is>
          <t>VÄSTRA GÖTALANDS LÄN</t>
        </is>
      </c>
      <c r="E87" t="inlineStr">
        <is>
          <t>ALINGSÅS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25896-2025</t>
        </is>
      </c>
      <c r="B88" s="1" t="n">
        <v>45804</v>
      </c>
      <c r="C88" s="1" t="n">
        <v>46205</v>
      </c>
      <c r="D88" t="inlineStr">
        <is>
          <t>VÄSTRA GÖTALANDS LÄN</t>
        </is>
      </c>
      <c r="E88" t="inlineStr">
        <is>
          <t>ALINGSÅS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26096-2025</t>
        </is>
      </c>
      <c r="B89" s="1" t="n">
        <v>45805</v>
      </c>
      <c r="C89" s="1" t="n">
        <v>46205</v>
      </c>
      <c r="D89" t="inlineStr">
        <is>
          <t>VÄSTRA GÖTALANDS LÄN</t>
        </is>
      </c>
      <c r="E89" t="inlineStr">
        <is>
          <t>ALINGSÅS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54579-2024</t>
        </is>
      </c>
      <c r="B90" s="1" t="n">
        <v>45617</v>
      </c>
      <c r="C90" s="1" t="n">
        <v>46205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26691-2025</t>
        </is>
      </c>
      <c r="B91" s="1" t="n">
        <v>45810</v>
      </c>
      <c r="C91" s="1" t="n">
        <v>46205</v>
      </c>
      <c r="D91" t="inlineStr">
        <is>
          <t>VÄSTRA GÖTALANDS LÄN</t>
        </is>
      </c>
      <c r="E91" t="inlineStr">
        <is>
          <t>ALINGSÅS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12968-2025</t>
        </is>
      </c>
      <c r="B92" s="1" t="n">
        <v>45734</v>
      </c>
      <c r="C92" s="1" t="n">
        <v>46205</v>
      </c>
      <c r="D92" t="inlineStr">
        <is>
          <t>VÄSTRA GÖTALANDS LÄN</t>
        </is>
      </c>
      <c r="E92" t="inlineStr">
        <is>
          <t>ALINGSÅS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12276-2024</t>
        </is>
      </c>
      <c r="B93" s="1" t="n">
        <v>45378</v>
      </c>
      <c r="C93" s="1" t="n">
        <v>46205</v>
      </c>
      <c r="D93" t="inlineStr">
        <is>
          <t>VÄSTRA GÖTALANDS LÄN</t>
        </is>
      </c>
      <c r="E93" t="inlineStr">
        <is>
          <t>ALINGSÅS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27202-2025</t>
        </is>
      </c>
      <c r="B94" s="1" t="n">
        <v>45812</v>
      </c>
      <c r="C94" s="1" t="n">
        <v>46205</v>
      </c>
      <c r="D94" t="inlineStr">
        <is>
          <t>VÄSTRA GÖTALANDS LÄN</t>
        </is>
      </c>
      <c r="E94" t="inlineStr">
        <is>
          <t>ALINGSÅS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36291-2024</t>
        </is>
      </c>
      <c r="B95" s="1" t="n">
        <v>45534</v>
      </c>
      <c r="C95" s="1" t="n">
        <v>46205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38970-2025</t>
        </is>
      </c>
      <c r="B96" s="1" t="n">
        <v>45887</v>
      </c>
      <c r="C96" s="1" t="n">
        <v>46205</v>
      </c>
      <c r="D96" t="inlineStr">
        <is>
          <t>VÄSTRA GÖTALANDS LÄN</t>
        </is>
      </c>
      <c r="E96" t="inlineStr">
        <is>
          <t>ALINGSÅS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45322-2024</t>
        </is>
      </c>
      <c r="B97" s="1" t="n">
        <v>45576</v>
      </c>
      <c r="C97" s="1" t="n">
        <v>46205</v>
      </c>
      <c r="D97" t="inlineStr">
        <is>
          <t>VÄSTRA GÖTALANDS LÄN</t>
        </is>
      </c>
      <c r="E97" t="inlineStr">
        <is>
          <t>ALINGSÅS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21328-2025</t>
        </is>
      </c>
      <c r="B98" s="1" t="n">
        <v>45782</v>
      </c>
      <c r="C98" s="1" t="n">
        <v>46205</v>
      </c>
      <c r="D98" t="inlineStr">
        <is>
          <t>VÄSTRA GÖTALANDS LÄN</t>
        </is>
      </c>
      <c r="E98" t="inlineStr">
        <is>
          <t>ALINGSÅS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28168-2025</t>
        </is>
      </c>
      <c r="B99" s="1" t="n">
        <v>45818</v>
      </c>
      <c r="C99" s="1" t="n">
        <v>46205</v>
      </c>
      <c r="D99" t="inlineStr">
        <is>
          <t>VÄSTRA GÖTALANDS LÄN</t>
        </is>
      </c>
      <c r="E99" t="inlineStr">
        <is>
          <t>ALINGSÅS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40242-2025</t>
        </is>
      </c>
      <c r="B100" s="1" t="n">
        <v>45894</v>
      </c>
      <c r="C100" s="1" t="n">
        <v>46205</v>
      </c>
      <c r="D100" t="inlineStr">
        <is>
          <t>VÄSTRA GÖTALANDS LÄN</t>
        </is>
      </c>
      <c r="E100" t="inlineStr">
        <is>
          <t>ALINGSÅS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4846-2024</t>
        </is>
      </c>
      <c r="B101" s="1" t="n">
        <v>45329</v>
      </c>
      <c r="C101" s="1" t="n">
        <v>46205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40073-2025</t>
        </is>
      </c>
      <c r="B102" s="1" t="n">
        <v>45894</v>
      </c>
      <c r="C102" s="1" t="n">
        <v>46205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41454-2025</t>
        </is>
      </c>
      <c r="B103" s="1" t="n">
        <v>45901</v>
      </c>
      <c r="C103" s="1" t="n">
        <v>46205</v>
      </c>
      <c r="D103" t="inlineStr">
        <is>
          <t>VÄSTRA GÖTALANDS LÄN</t>
        </is>
      </c>
      <c r="E103" t="inlineStr">
        <is>
          <t>ALINGSÅS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41452-2025</t>
        </is>
      </c>
      <c r="B104" s="1" t="n">
        <v>45901</v>
      </c>
      <c r="C104" s="1" t="n">
        <v>46205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1837-2026</t>
        </is>
      </c>
      <c r="B105" s="1" t="n">
        <v>46035</v>
      </c>
      <c r="C105" s="1" t="n">
        <v>46205</v>
      </c>
      <c r="D105" t="inlineStr">
        <is>
          <t>VÄSTRA GÖTALANDS LÄN</t>
        </is>
      </c>
      <c r="E105" t="inlineStr">
        <is>
          <t>ALINGSÅS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11388-2025</t>
        </is>
      </c>
      <c r="B106" s="1" t="n">
        <v>45726</v>
      </c>
      <c r="C106" s="1" t="n">
        <v>46205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10541-2025</t>
        </is>
      </c>
      <c r="B107" s="1" t="n">
        <v>45721</v>
      </c>
      <c r="C107" s="1" t="n">
        <v>46205</v>
      </c>
      <c r="D107" t="inlineStr">
        <is>
          <t>VÄSTRA GÖTALANDS LÄN</t>
        </is>
      </c>
      <c r="E107" t="inlineStr">
        <is>
          <t>ALINGSÅS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9851-2025</t>
        </is>
      </c>
      <c r="B108" s="1" t="n">
        <v>45716</v>
      </c>
      <c r="C108" s="1" t="n">
        <v>46205</v>
      </c>
      <c r="D108" t="inlineStr">
        <is>
          <t>VÄSTRA GÖTALANDS LÄN</t>
        </is>
      </c>
      <c r="E108" t="inlineStr">
        <is>
          <t>ALINGSÅS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11462-2025</t>
        </is>
      </c>
      <c r="B109" s="1" t="n">
        <v>45726</v>
      </c>
      <c r="C109" s="1" t="n">
        <v>46205</v>
      </c>
      <c r="D109" t="inlineStr">
        <is>
          <t>VÄSTRA GÖTALANDS LÄN</t>
        </is>
      </c>
      <c r="E109" t="inlineStr">
        <is>
          <t>ALINGSÅS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11459-2025</t>
        </is>
      </c>
      <c r="B110" s="1" t="n">
        <v>45726</v>
      </c>
      <c r="C110" s="1" t="n">
        <v>46205</v>
      </c>
      <c r="D110" t="inlineStr">
        <is>
          <t>VÄSTRA GÖTALANDS LÄN</t>
        </is>
      </c>
      <c r="E110" t="inlineStr">
        <is>
          <t>ALINGSÅS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11458-2025</t>
        </is>
      </c>
      <c r="B111" s="1" t="n">
        <v>45726</v>
      </c>
      <c r="C111" s="1" t="n">
        <v>46205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42672-2025</t>
        </is>
      </c>
      <c r="B112" s="1" t="n">
        <v>45908</v>
      </c>
      <c r="C112" s="1" t="n">
        <v>46205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42711-2025</t>
        </is>
      </c>
      <c r="B113" s="1" t="n">
        <v>45908</v>
      </c>
      <c r="C113" s="1" t="n">
        <v>46205</v>
      </c>
      <c r="D113" t="inlineStr">
        <is>
          <t>VÄSTRA GÖTALANDS LÄN</t>
        </is>
      </c>
      <c r="E113" t="inlineStr">
        <is>
          <t>ALINGSÅS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42710-2025</t>
        </is>
      </c>
      <c r="B114" s="1" t="n">
        <v>45908</v>
      </c>
      <c r="C114" s="1" t="n">
        <v>46205</v>
      </c>
      <c r="D114" t="inlineStr">
        <is>
          <t>VÄSTRA GÖTALANDS LÄN</t>
        </is>
      </c>
      <c r="E114" t="inlineStr">
        <is>
          <t>ALINGSÅS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42490-2025</t>
        </is>
      </c>
      <c r="B115" s="1" t="n">
        <v>45905</v>
      </c>
      <c r="C115" s="1" t="n">
        <v>46205</v>
      </c>
      <c r="D115" t="inlineStr">
        <is>
          <t>VÄSTRA GÖTALANDS LÄN</t>
        </is>
      </c>
      <c r="E115" t="inlineStr">
        <is>
          <t>ALINGSÅS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43262-2025</t>
        </is>
      </c>
      <c r="B116" s="1" t="n">
        <v>45910</v>
      </c>
      <c r="C116" s="1" t="n">
        <v>46205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9181-2022</t>
        </is>
      </c>
      <c r="B117" s="1" t="n">
        <v>44615</v>
      </c>
      <c r="C117" s="1" t="n">
        <v>46205</v>
      </c>
      <c r="D117" t="inlineStr">
        <is>
          <t>VÄSTRA GÖTALANDS LÄN</t>
        </is>
      </c>
      <c r="E117" t="inlineStr">
        <is>
          <t>ALINGSÅS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43741-2024</t>
        </is>
      </c>
      <c r="B118" s="1" t="n">
        <v>45569</v>
      </c>
      <c r="C118" s="1" t="n">
        <v>46205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44530-2025</t>
        </is>
      </c>
      <c r="B119" s="1" t="n">
        <v>45916</v>
      </c>
      <c r="C119" s="1" t="n">
        <v>46205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3028-2026</t>
        </is>
      </c>
      <c r="B120" s="1" t="n">
        <v>46038</v>
      </c>
      <c r="C120" s="1" t="n">
        <v>46205</v>
      </c>
      <c r="D120" t="inlineStr">
        <is>
          <t>VÄSTRA GÖTALANDS LÄN</t>
        </is>
      </c>
      <c r="E120" t="inlineStr">
        <is>
          <t>ALINGSÅS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43435-2024</t>
        </is>
      </c>
      <c r="B121" s="1" t="n">
        <v>45568</v>
      </c>
      <c r="C121" s="1" t="n">
        <v>46205</v>
      </c>
      <c r="D121" t="inlineStr">
        <is>
          <t>VÄSTRA GÖTALANDS LÄN</t>
        </is>
      </c>
      <c r="E121" t="inlineStr">
        <is>
          <t>ALINGSÅS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45610-2025</t>
        </is>
      </c>
      <c r="B122" s="1" t="n">
        <v>45922</v>
      </c>
      <c r="C122" s="1" t="n">
        <v>46205</v>
      </c>
      <c r="D122" t="inlineStr">
        <is>
          <t>VÄSTRA GÖTALANDS LÄN</t>
        </is>
      </c>
      <c r="E122" t="inlineStr">
        <is>
          <t>ALINGSÅS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10587-2025</t>
        </is>
      </c>
      <c r="B123" s="1" t="n">
        <v>45721</v>
      </c>
      <c r="C123" s="1" t="n">
        <v>46205</v>
      </c>
      <c r="D123" t="inlineStr">
        <is>
          <t>VÄSTRA GÖTALANDS LÄN</t>
        </is>
      </c>
      <c r="E123" t="inlineStr">
        <is>
          <t>ALINGSÅS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3008-2026</t>
        </is>
      </c>
      <c r="B124" s="1" t="n">
        <v>46038</v>
      </c>
      <c r="C124" s="1" t="n">
        <v>46205</v>
      </c>
      <c r="D124" t="inlineStr">
        <is>
          <t>VÄSTRA GÖTALANDS LÄN</t>
        </is>
      </c>
      <c r="E124" t="inlineStr">
        <is>
          <t>ALINGSÅS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58410-2024</t>
        </is>
      </c>
      <c r="B125" s="1" t="n">
        <v>45634</v>
      </c>
      <c r="C125" s="1" t="n">
        <v>46205</v>
      </c>
      <c r="D125" t="inlineStr">
        <is>
          <t>VÄSTRA GÖTALANDS LÄN</t>
        </is>
      </c>
      <c r="E125" t="inlineStr">
        <is>
          <t>ALINGSÅS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19553-2024</t>
        </is>
      </c>
      <c r="B126" s="1" t="n">
        <v>45429</v>
      </c>
      <c r="C126" s="1" t="n">
        <v>46205</v>
      </c>
      <c r="D126" t="inlineStr">
        <is>
          <t>VÄSTRA GÖTALANDS LÄN</t>
        </is>
      </c>
      <c r="E126" t="inlineStr">
        <is>
          <t>ALINGSÅS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2253-2026</t>
        </is>
      </c>
      <c r="B127" s="1" t="n">
        <v>46031</v>
      </c>
      <c r="C127" s="1" t="n">
        <v>46205</v>
      </c>
      <c r="D127" t="inlineStr">
        <is>
          <t>VÄSTRA GÖTALANDS LÄN</t>
        </is>
      </c>
      <c r="E127" t="inlineStr">
        <is>
          <t>ALINGSÅS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35004-2025</t>
        </is>
      </c>
      <c r="B128" s="1" t="n">
        <v>45850</v>
      </c>
      <c r="C128" s="1" t="n">
        <v>46205</v>
      </c>
      <c r="D128" t="inlineStr">
        <is>
          <t>VÄSTRA GÖTALANDS LÄN</t>
        </is>
      </c>
      <c r="E128" t="inlineStr">
        <is>
          <t>ALINGSÅS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59292-2023</t>
        </is>
      </c>
      <c r="B129" s="1" t="n">
        <v>45253</v>
      </c>
      <c r="C129" s="1" t="n">
        <v>46205</v>
      </c>
      <c r="D129" t="inlineStr">
        <is>
          <t>VÄSTRA GÖTALANDS LÄN</t>
        </is>
      </c>
      <c r="E129" t="inlineStr">
        <is>
          <t>ALINGSÅS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36120-2021</t>
        </is>
      </c>
      <c r="B130" s="1" t="n">
        <v>44389</v>
      </c>
      <c r="C130" s="1" t="n">
        <v>46205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35003-2025</t>
        </is>
      </c>
      <c r="B131" s="1" t="n">
        <v>45850</v>
      </c>
      <c r="C131" s="1" t="n">
        <v>46205</v>
      </c>
      <c r="D131" t="inlineStr">
        <is>
          <t>VÄSTRA GÖTALANDS LÄN</t>
        </is>
      </c>
      <c r="E131" t="inlineStr">
        <is>
          <t>ALINGSÅS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53628-2023</t>
        </is>
      </c>
      <c r="B132" s="1" t="n">
        <v>45230</v>
      </c>
      <c r="C132" s="1" t="n">
        <v>46205</v>
      </c>
      <c r="D132" t="inlineStr">
        <is>
          <t>VÄSTRA GÖTALANDS LÄN</t>
        </is>
      </c>
      <c r="E132" t="inlineStr">
        <is>
          <t>ALINGSÅS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47143-2025</t>
        </is>
      </c>
      <c r="B133" s="1" t="n">
        <v>45929</v>
      </c>
      <c r="C133" s="1" t="n">
        <v>46205</v>
      </c>
      <c r="D133" t="inlineStr">
        <is>
          <t>VÄSTRA GÖTALANDS LÄN</t>
        </is>
      </c>
      <c r="E133" t="inlineStr">
        <is>
          <t>ALINGSÅS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47562-2025</t>
        </is>
      </c>
      <c r="B134" s="1" t="n">
        <v>45931</v>
      </c>
      <c r="C134" s="1" t="n">
        <v>46205</v>
      </c>
      <c r="D134" t="inlineStr">
        <is>
          <t>VÄSTRA GÖTALANDS LÄN</t>
        </is>
      </c>
      <c r="E134" t="inlineStr">
        <is>
          <t>ALINGSÅS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12318-2022</t>
        </is>
      </c>
      <c r="B135" s="1" t="n">
        <v>44637</v>
      </c>
      <c r="C135" s="1" t="n">
        <v>46205</v>
      </c>
      <c r="D135" t="inlineStr">
        <is>
          <t>VÄSTRA GÖTALANDS LÄN</t>
        </is>
      </c>
      <c r="E135" t="inlineStr">
        <is>
          <t>ALINGSÅS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17550-2025</t>
        </is>
      </c>
      <c r="B136" s="1" t="n">
        <v>45757</v>
      </c>
      <c r="C136" s="1" t="n">
        <v>46205</v>
      </c>
      <c r="D136" t="inlineStr">
        <is>
          <t>VÄSTRA GÖTALANDS LÄN</t>
        </is>
      </c>
      <c r="E136" t="inlineStr">
        <is>
          <t>ALINGSÅS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64070-2023</t>
        </is>
      </c>
      <c r="B137" s="1" t="n">
        <v>45279</v>
      </c>
      <c r="C137" s="1" t="n">
        <v>46205</v>
      </c>
      <c r="D137" t="inlineStr">
        <is>
          <t>VÄSTRA GÖTALANDS LÄN</t>
        </is>
      </c>
      <c r="E137" t="inlineStr">
        <is>
          <t>ALINGSÅS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3049-2026</t>
        </is>
      </c>
      <c r="B138" s="1" t="n">
        <v>46038</v>
      </c>
      <c r="C138" s="1" t="n">
        <v>46205</v>
      </c>
      <c r="D138" t="inlineStr">
        <is>
          <t>VÄSTRA GÖTALANDS LÄN</t>
        </is>
      </c>
      <c r="E138" t="inlineStr">
        <is>
          <t>ALINGSÅS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64058-2023</t>
        </is>
      </c>
      <c r="B139" s="1" t="n">
        <v>45279</v>
      </c>
      <c r="C139" s="1" t="n">
        <v>46205</v>
      </c>
      <c r="D139" t="inlineStr">
        <is>
          <t>VÄSTRA GÖTALANDS LÄN</t>
        </is>
      </c>
      <c r="E139" t="inlineStr">
        <is>
          <t>ALINGSÅS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64194-2023</t>
        </is>
      </c>
      <c r="B140" s="1" t="n">
        <v>45279</v>
      </c>
      <c r="C140" s="1" t="n">
        <v>46205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16609-2022</t>
        </is>
      </c>
      <c r="B141" s="1" t="n">
        <v>44672</v>
      </c>
      <c r="C141" s="1" t="n">
        <v>46205</v>
      </c>
      <c r="D141" t="inlineStr">
        <is>
          <t>VÄSTRA GÖTALANDS LÄN</t>
        </is>
      </c>
      <c r="E141" t="inlineStr">
        <is>
          <t>ALINGSÅS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16612-2022</t>
        </is>
      </c>
      <c r="B142" s="1" t="n">
        <v>44672</v>
      </c>
      <c r="C142" s="1" t="n">
        <v>46205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48966-2025</t>
        </is>
      </c>
      <c r="B143" s="1" t="n">
        <v>45937</v>
      </c>
      <c r="C143" s="1" t="n">
        <v>46205</v>
      </c>
      <c r="D143" t="inlineStr">
        <is>
          <t>VÄSTRA GÖTALANDS LÄN</t>
        </is>
      </c>
      <c r="E143" t="inlineStr">
        <is>
          <t>ALINGSÅS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49420-2025</t>
        </is>
      </c>
      <c r="B144" s="1" t="n">
        <v>45938</v>
      </c>
      <c r="C144" s="1" t="n">
        <v>46205</v>
      </c>
      <c r="D144" t="inlineStr">
        <is>
          <t>VÄSTRA GÖTALANDS LÄN</t>
        </is>
      </c>
      <c r="E144" t="inlineStr">
        <is>
          <t>ALINGSÅS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48942-2025</t>
        </is>
      </c>
      <c r="B145" s="1" t="n">
        <v>45937</v>
      </c>
      <c r="C145" s="1" t="n">
        <v>46205</v>
      </c>
      <c r="D145" t="inlineStr">
        <is>
          <t>VÄSTRA GÖTALANDS LÄN</t>
        </is>
      </c>
      <c r="E145" t="inlineStr">
        <is>
          <t>ALINGSÅS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10916-2025</t>
        </is>
      </c>
      <c r="B146" s="1" t="n">
        <v>45722</v>
      </c>
      <c r="C146" s="1" t="n">
        <v>46205</v>
      </c>
      <c r="D146" t="inlineStr">
        <is>
          <t>VÄSTRA GÖTALANDS LÄN</t>
        </is>
      </c>
      <c r="E146" t="inlineStr">
        <is>
          <t>ALINGSÅS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3048-2026</t>
        </is>
      </c>
      <c r="B147" s="1" t="n">
        <v>46038</v>
      </c>
      <c r="C147" s="1" t="n">
        <v>46205</v>
      </c>
      <c r="D147" t="inlineStr">
        <is>
          <t>VÄSTRA GÖTALANDS LÄN</t>
        </is>
      </c>
      <c r="E147" t="inlineStr">
        <is>
          <t>ALINGSÅS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45612-2025</t>
        </is>
      </c>
      <c r="B148" s="1" t="n">
        <v>45922</v>
      </c>
      <c r="C148" s="1" t="n">
        <v>46205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15019-2023</t>
        </is>
      </c>
      <c r="B149" s="1" t="n">
        <v>45015</v>
      </c>
      <c r="C149" s="1" t="n">
        <v>46205</v>
      </c>
      <c r="D149" t="inlineStr">
        <is>
          <t>VÄSTRA GÖTALANDS LÄN</t>
        </is>
      </c>
      <c r="E149" t="inlineStr">
        <is>
          <t>ALINGSÅS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4203-2026</t>
        </is>
      </c>
      <c r="B150" s="1" t="n">
        <v>46044</v>
      </c>
      <c r="C150" s="1" t="n">
        <v>46205</v>
      </c>
      <c r="D150" t="inlineStr">
        <is>
          <t>VÄSTRA GÖTALANDS LÄN</t>
        </is>
      </c>
      <c r="E150" t="inlineStr">
        <is>
          <t>ALINGSÅS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63143-2021</t>
        </is>
      </c>
      <c r="B151" s="1" t="n">
        <v>44505</v>
      </c>
      <c r="C151" s="1" t="n">
        <v>46205</v>
      </c>
      <c r="D151" t="inlineStr">
        <is>
          <t>VÄSTRA GÖTALANDS LÄN</t>
        </is>
      </c>
      <c r="E151" t="inlineStr">
        <is>
          <t>ALINGSÅS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26316-2023</t>
        </is>
      </c>
      <c r="B152" s="1" t="n">
        <v>45091</v>
      </c>
      <c r="C152" s="1" t="n">
        <v>46205</v>
      </c>
      <c r="D152" t="inlineStr">
        <is>
          <t>VÄSTRA GÖTALANDS LÄN</t>
        </is>
      </c>
      <c r="E152" t="inlineStr">
        <is>
          <t>ALINGSÅS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36120-2021</t>
        </is>
      </c>
      <c r="B153" s="1" t="n">
        <v>44389</v>
      </c>
      <c r="C153" s="1" t="n">
        <v>46205</v>
      </c>
      <c r="D153" t="inlineStr">
        <is>
          <t>VÄSTRA GÖTALANDS LÄN</t>
        </is>
      </c>
      <c r="E153" t="inlineStr">
        <is>
          <t>ALINGSÅS</t>
        </is>
      </c>
      <c r="F153" t="inlineStr">
        <is>
          <t>Allmännings- och besparingsskogar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11024-2023</t>
        </is>
      </c>
      <c r="B154" s="1" t="n">
        <v>44991</v>
      </c>
      <c r="C154" s="1" t="n">
        <v>46205</v>
      </c>
      <c r="D154" t="inlineStr">
        <is>
          <t>VÄSTRA GÖTALANDS LÄN</t>
        </is>
      </c>
      <c r="E154" t="inlineStr">
        <is>
          <t>ALINGSÅS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53222-2025</t>
        </is>
      </c>
      <c r="B155" s="1" t="n">
        <v>45958</v>
      </c>
      <c r="C155" s="1" t="n">
        <v>46205</v>
      </c>
      <c r="D155" t="inlineStr">
        <is>
          <t>VÄSTRA GÖTALANDS LÄN</t>
        </is>
      </c>
      <c r="E155" t="inlineStr">
        <is>
          <t>ALINGSÅS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53223-2025</t>
        </is>
      </c>
      <c r="B156" s="1" t="n">
        <v>45958</v>
      </c>
      <c r="C156" s="1" t="n">
        <v>46205</v>
      </c>
      <c r="D156" t="inlineStr">
        <is>
          <t>VÄSTRA GÖTALANDS LÄN</t>
        </is>
      </c>
      <c r="E156" t="inlineStr">
        <is>
          <t>ALINGSÅS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14313-2023</t>
        </is>
      </c>
      <c r="B157" s="1" t="n">
        <v>45011</v>
      </c>
      <c r="C157" s="1" t="n">
        <v>46205</v>
      </c>
      <c r="D157" t="inlineStr">
        <is>
          <t>VÄSTRA GÖTALANDS LÄN</t>
        </is>
      </c>
      <c r="E157" t="inlineStr">
        <is>
          <t>ALINGSÅS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23559-2022</t>
        </is>
      </c>
      <c r="B158" s="1" t="n">
        <v>44721</v>
      </c>
      <c r="C158" s="1" t="n">
        <v>46205</v>
      </c>
      <c r="D158" t="inlineStr">
        <is>
          <t>VÄSTRA GÖTALANDS LÄN</t>
        </is>
      </c>
      <c r="E158" t="inlineStr">
        <is>
          <t>ALINGSÅS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5962-2023</t>
        </is>
      </c>
      <c r="B159" s="1" t="n">
        <v>44964</v>
      </c>
      <c r="C159" s="1" t="n">
        <v>46205</v>
      </c>
      <c r="D159" t="inlineStr">
        <is>
          <t>VÄSTRA GÖTALANDS LÄN</t>
        </is>
      </c>
      <c r="E159" t="inlineStr">
        <is>
          <t>ALINGSÅS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54122-2025</t>
        </is>
      </c>
      <c r="B160" s="1" t="n">
        <v>45964</v>
      </c>
      <c r="C160" s="1" t="n">
        <v>46205</v>
      </c>
      <c r="D160" t="inlineStr">
        <is>
          <t>VÄSTRA GÖTALANDS LÄN</t>
        </is>
      </c>
      <c r="E160" t="inlineStr">
        <is>
          <t>ALINGSÅS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54074-2025</t>
        </is>
      </c>
      <c r="B161" s="1" t="n">
        <v>45964</v>
      </c>
      <c r="C161" s="1" t="n">
        <v>46205</v>
      </c>
      <c r="D161" t="inlineStr">
        <is>
          <t>VÄSTRA GÖTALANDS LÄN</t>
        </is>
      </c>
      <c r="E161" t="inlineStr">
        <is>
          <t>ALINGSÅS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54073-2025</t>
        </is>
      </c>
      <c r="B162" s="1" t="n">
        <v>45964</v>
      </c>
      <c r="C162" s="1" t="n">
        <v>46205</v>
      </c>
      <c r="D162" t="inlineStr">
        <is>
          <t>VÄSTRA GÖTALANDS LÄN</t>
        </is>
      </c>
      <c r="E162" t="inlineStr">
        <is>
          <t>ALINGSÅS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54701-2025</t>
        </is>
      </c>
      <c r="B163" s="1" t="n">
        <v>45966</v>
      </c>
      <c r="C163" s="1" t="n">
        <v>46205</v>
      </c>
      <c r="D163" t="inlineStr">
        <is>
          <t>VÄSTRA GÖTALANDS LÄN</t>
        </is>
      </c>
      <c r="E163" t="inlineStr">
        <is>
          <t>ALINGSÅS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32286-2024</t>
        </is>
      </c>
      <c r="B164" s="1" t="n">
        <v>45512</v>
      </c>
      <c r="C164" s="1" t="n">
        <v>46205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54644-2025</t>
        </is>
      </c>
      <c r="B165" s="1" t="n">
        <v>45966</v>
      </c>
      <c r="C165" s="1" t="n">
        <v>46205</v>
      </c>
      <c r="D165" t="inlineStr">
        <is>
          <t>VÄSTRA GÖTALANDS LÄN</t>
        </is>
      </c>
      <c r="E165" t="inlineStr">
        <is>
          <t>ALINGSÅS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54643-2025</t>
        </is>
      </c>
      <c r="B166" s="1" t="n">
        <v>45966</v>
      </c>
      <c r="C166" s="1" t="n">
        <v>46205</v>
      </c>
      <c r="D166" t="inlineStr">
        <is>
          <t>VÄSTRA GÖTALANDS LÄN</t>
        </is>
      </c>
      <c r="E166" t="inlineStr">
        <is>
          <t>ALINGSÅS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55775-2025</t>
        </is>
      </c>
      <c r="B167" s="1" t="n">
        <v>45972</v>
      </c>
      <c r="C167" s="1" t="n">
        <v>46205</v>
      </c>
      <c r="D167" t="inlineStr">
        <is>
          <t>VÄSTRA GÖTALANDS LÄN</t>
        </is>
      </c>
      <c r="E167" t="inlineStr">
        <is>
          <t>ALINGSÅS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57912-2025</t>
        </is>
      </c>
      <c r="B168" s="1" t="n">
        <v>45972</v>
      </c>
      <c r="C168" s="1" t="n">
        <v>46205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55294-2025</t>
        </is>
      </c>
      <c r="B169" s="1" t="n">
        <v>45969</v>
      </c>
      <c r="C169" s="1" t="n">
        <v>46205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24607-2022</t>
        </is>
      </c>
      <c r="B170" s="1" t="n">
        <v>44727</v>
      </c>
      <c r="C170" s="1" t="n">
        <v>46205</v>
      </c>
      <c r="D170" t="inlineStr">
        <is>
          <t>VÄSTRA GÖTALANDS LÄN</t>
        </is>
      </c>
      <c r="E170" t="inlineStr">
        <is>
          <t>ALINGSÅS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15018-2023</t>
        </is>
      </c>
      <c r="B171" s="1" t="n">
        <v>45015</v>
      </c>
      <c r="C171" s="1" t="n">
        <v>46205</v>
      </c>
      <c r="D171" t="inlineStr">
        <is>
          <t>VÄSTRA GÖTALANDS LÄN</t>
        </is>
      </c>
      <c r="E171" t="inlineStr">
        <is>
          <t>ALINGSÅS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56311-2025</t>
        </is>
      </c>
      <c r="B172" s="1" t="n">
        <v>45974</v>
      </c>
      <c r="C172" s="1" t="n">
        <v>46205</v>
      </c>
      <c r="D172" t="inlineStr">
        <is>
          <t>VÄSTRA GÖTALANDS LÄN</t>
        </is>
      </c>
      <c r="E172" t="inlineStr">
        <is>
          <t>ALINGSÅS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56116-2025</t>
        </is>
      </c>
      <c r="B173" s="1" t="n">
        <v>45973</v>
      </c>
      <c r="C173" s="1" t="n">
        <v>46205</v>
      </c>
      <c r="D173" t="inlineStr">
        <is>
          <t>VÄSTRA GÖTALANDS LÄN</t>
        </is>
      </c>
      <c r="E173" t="inlineStr">
        <is>
          <t>ALINGSÅS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56118-2025</t>
        </is>
      </c>
      <c r="B174" s="1" t="n">
        <v>45973</v>
      </c>
      <c r="C174" s="1" t="n">
        <v>46205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7805-2025</t>
        </is>
      </c>
      <c r="B175" s="1" t="n">
        <v>45706</v>
      </c>
      <c r="C175" s="1" t="n">
        <v>46205</v>
      </c>
      <c r="D175" t="inlineStr">
        <is>
          <t>VÄSTRA GÖTALANDS LÄN</t>
        </is>
      </c>
      <c r="E175" t="inlineStr">
        <is>
          <t>ALINGSÅS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21727-2022</t>
        </is>
      </c>
      <c r="B176" s="1" t="n">
        <v>44708</v>
      </c>
      <c r="C176" s="1" t="n">
        <v>46205</v>
      </c>
      <c r="D176" t="inlineStr">
        <is>
          <t>VÄSTRA GÖTALANDS LÄN</t>
        </is>
      </c>
      <c r="E176" t="inlineStr">
        <is>
          <t>ALINGSÅS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261-2025</t>
        </is>
      </c>
      <c r="B177" s="1" t="n">
        <v>45660</v>
      </c>
      <c r="C177" s="1" t="n">
        <v>46205</v>
      </c>
      <c r="D177" t="inlineStr">
        <is>
          <t>VÄSTRA GÖTALANDS LÄN</t>
        </is>
      </c>
      <c r="E177" t="inlineStr">
        <is>
          <t>ALINGSÅS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6841-2025</t>
        </is>
      </c>
      <c r="B178" s="1" t="n">
        <v>45700</v>
      </c>
      <c r="C178" s="1" t="n">
        <v>46205</v>
      </c>
      <c r="D178" t="inlineStr">
        <is>
          <t>VÄSTRA GÖTALANDS LÄN</t>
        </is>
      </c>
      <c r="E178" t="inlineStr">
        <is>
          <t>ALINGSÅS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58630-2025</t>
        </is>
      </c>
      <c r="B179" s="1" t="n">
        <v>45986</v>
      </c>
      <c r="C179" s="1" t="n">
        <v>46205</v>
      </c>
      <c r="D179" t="inlineStr">
        <is>
          <t>VÄSTRA GÖTALANDS LÄN</t>
        </is>
      </c>
      <c r="E179" t="inlineStr">
        <is>
          <t>ALINGSÅS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58636-2025</t>
        </is>
      </c>
      <c r="B180" s="1" t="n">
        <v>45986</v>
      </c>
      <c r="C180" s="1" t="n">
        <v>46205</v>
      </c>
      <c r="D180" t="inlineStr">
        <is>
          <t>VÄSTRA GÖTALANDS LÄN</t>
        </is>
      </c>
      <c r="E180" t="inlineStr">
        <is>
          <t>ALINGSÅS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15798-2023</t>
        </is>
      </c>
      <c r="B181" s="1" t="n">
        <v>45021</v>
      </c>
      <c r="C181" s="1" t="n">
        <v>46205</v>
      </c>
      <c r="D181" t="inlineStr">
        <is>
          <t>VÄSTRA GÖTALANDS LÄN</t>
        </is>
      </c>
      <c r="E181" t="inlineStr">
        <is>
          <t>ALINGSÅS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22186-2025</t>
        </is>
      </c>
      <c r="B182" s="1" t="n">
        <v>45785</v>
      </c>
      <c r="C182" s="1" t="n">
        <v>46205</v>
      </c>
      <c r="D182" t="inlineStr">
        <is>
          <t>VÄSTRA GÖTALANDS LÄN</t>
        </is>
      </c>
      <c r="E182" t="inlineStr">
        <is>
          <t>ALINGSÅS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59396-2025</t>
        </is>
      </c>
      <c r="B183" s="1" t="n">
        <v>45989</v>
      </c>
      <c r="C183" s="1" t="n">
        <v>46205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59397-2025</t>
        </is>
      </c>
      <c r="B184" s="1" t="n">
        <v>45989</v>
      </c>
      <c r="C184" s="1" t="n">
        <v>46205</v>
      </c>
      <c r="D184" t="inlineStr">
        <is>
          <t>VÄSTRA GÖTALANDS LÄN</t>
        </is>
      </c>
      <c r="E184" t="inlineStr">
        <is>
          <t>ALINGSÅS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3769-2025</t>
        </is>
      </c>
      <c r="B185" s="1" t="n">
        <v>45681</v>
      </c>
      <c r="C185" s="1" t="n">
        <v>46205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60725-2025</t>
        </is>
      </c>
      <c r="B186" s="1" t="n">
        <v>45996</v>
      </c>
      <c r="C186" s="1" t="n">
        <v>46205</v>
      </c>
      <c r="D186" t="inlineStr">
        <is>
          <t>VÄSTRA GÖTALANDS LÄN</t>
        </is>
      </c>
      <c r="E186" t="inlineStr">
        <is>
          <t>ALINGSÅS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9362-2026</t>
        </is>
      </c>
      <c r="B187" s="1" t="n">
        <v>46070</v>
      </c>
      <c r="C187" s="1" t="n">
        <v>46205</v>
      </c>
      <c r="D187" t="inlineStr">
        <is>
          <t>VÄSTRA GÖTALANDS LÄN</t>
        </is>
      </c>
      <c r="E187" t="inlineStr">
        <is>
          <t>ALINGSÅS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61205-2025</t>
        </is>
      </c>
      <c r="B188" s="1" t="n">
        <v>46000</v>
      </c>
      <c r="C188" s="1" t="n">
        <v>46205</v>
      </c>
      <c r="D188" t="inlineStr">
        <is>
          <t>VÄSTRA GÖTALANDS LÄN</t>
        </is>
      </c>
      <c r="E188" t="inlineStr">
        <is>
          <t>ALINGSÅS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61134-2025</t>
        </is>
      </c>
      <c r="B189" s="1" t="n">
        <v>46000</v>
      </c>
      <c r="C189" s="1" t="n">
        <v>46205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41971-2023</t>
        </is>
      </c>
      <c r="B190" s="1" t="n">
        <v>45177</v>
      </c>
      <c r="C190" s="1" t="n">
        <v>46205</v>
      </c>
      <c r="D190" t="inlineStr">
        <is>
          <t>VÄSTRA GÖTALANDS LÄN</t>
        </is>
      </c>
      <c r="E190" t="inlineStr">
        <is>
          <t>ALINGSÅS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8599-2023</t>
        </is>
      </c>
      <c r="B191" s="1" t="n">
        <v>44977</v>
      </c>
      <c r="C191" s="1" t="n">
        <v>46205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62818-2025</t>
        </is>
      </c>
      <c r="B192" s="1" t="n">
        <v>46008</v>
      </c>
      <c r="C192" s="1" t="n">
        <v>46205</v>
      </c>
      <c r="D192" t="inlineStr">
        <is>
          <t>VÄSTRA GÖTALANDS LÄN</t>
        </is>
      </c>
      <c r="E192" t="inlineStr">
        <is>
          <t>ALINGSÅS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25746-2024</t>
        </is>
      </c>
      <c r="B193" s="1" t="n">
        <v>45465</v>
      </c>
      <c r="C193" s="1" t="n">
        <v>46205</v>
      </c>
      <c r="D193" t="inlineStr">
        <is>
          <t>VÄSTRA GÖTALANDS LÄN</t>
        </is>
      </c>
      <c r="E193" t="inlineStr">
        <is>
          <t>ALINGSÅS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6341-2025</t>
        </is>
      </c>
      <c r="B194" s="1" t="n">
        <v>45699</v>
      </c>
      <c r="C194" s="1" t="n">
        <v>46205</v>
      </c>
      <c r="D194" t="inlineStr">
        <is>
          <t>VÄSTRA GÖTALANDS LÄN</t>
        </is>
      </c>
      <c r="E194" t="inlineStr">
        <is>
          <t>ALINGSÅS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63717-2025</t>
        </is>
      </c>
      <c r="B195" s="1" t="n">
        <v>46014</v>
      </c>
      <c r="C195" s="1" t="n">
        <v>46205</v>
      </c>
      <c r="D195" t="inlineStr">
        <is>
          <t>VÄSTRA GÖTALANDS LÄN</t>
        </is>
      </c>
      <c r="E195" t="inlineStr">
        <is>
          <t>ALINGSÅS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8210-2025</t>
        </is>
      </c>
      <c r="B196" s="1" t="n">
        <v>45708</v>
      </c>
      <c r="C196" s="1" t="n">
        <v>46205</v>
      </c>
      <c r="D196" t="inlineStr">
        <is>
          <t>VÄSTRA GÖTALANDS LÄN</t>
        </is>
      </c>
      <c r="E196" t="inlineStr">
        <is>
          <t>ALINGSÅS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8234-2025</t>
        </is>
      </c>
      <c r="B197" s="1" t="n">
        <v>45708</v>
      </c>
      <c r="C197" s="1" t="n">
        <v>46205</v>
      </c>
      <c r="D197" t="inlineStr">
        <is>
          <t>VÄSTRA GÖTALANDS LÄN</t>
        </is>
      </c>
      <c r="E197" t="inlineStr">
        <is>
          <t>ALINGSÅS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7631-2025</t>
        </is>
      </c>
      <c r="B198" s="1" t="n">
        <v>45705</v>
      </c>
      <c r="C198" s="1" t="n">
        <v>46205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8620-2023</t>
        </is>
      </c>
      <c r="B199" s="1" t="n">
        <v>44977</v>
      </c>
      <c r="C199" s="1" t="n">
        <v>46205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63716-2025</t>
        </is>
      </c>
      <c r="B200" s="1" t="n">
        <v>46014</v>
      </c>
      <c r="C200" s="1" t="n">
        <v>46205</v>
      </c>
      <c r="D200" t="inlineStr">
        <is>
          <t>VÄSTRA GÖTALANDS LÄN</t>
        </is>
      </c>
      <c r="E200" t="inlineStr">
        <is>
          <t>ALINGSÅS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13858-2024</t>
        </is>
      </c>
      <c r="B201" s="1" t="n">
        <v>45391</v>
      </c>
      <c r="C201" s="1" t="n">
        <v>46205</v>
      </c>
      <c r="D201" t="inlineStr">
        <is>
          <t>VÄSTRA GÖTALANDS LÄN</t>
        </is>
      </c>
      <c r="E201" t="inlineStr">
        <is>
          <t>ALINGSÅS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12039-2026</t>
        </is>
      </c>
      <c r="B202" s="1" t="n">
        <v>46086</v>
      </c>
      <c r="C202" s="1" t="n">
        <v>46205</v>
      </c>
      <c r="D202" t="inlineStr">
        <is>
          <t>VÄSTRA GÖTALANDS LÄN</t>
        </is>
      </c>
      <c r="E202" t="inlineStr">
        <is>
          <t>ALINGSÅS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12168-2026</t>
        </is>
      </c>
      <c r="B203" s="1" t="n">
        <v>46086</v>
      </c>
      <c r="C203" s="1" t="n">
        <v>46205</v>
      </c>
      <c r="D203" t="inlineStr">
        <is>
          <t>VÄSTRA GÖTALANDS LÄN</t>
        </is>
      </c>
      <c r="E203" t="inlineStr">
        <is>
          <t>ALINGSÅS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37429-2023</t>
        </is>
      </c>
      <c r="B204" s="1" t="n">
        <v>45156</v>
      </c>
      <c r="C204" s="1" t="n">
        <v>46205</v>
      </c>
      <c r="D204" t="inlineStr">
        <is>
          <t>VÄSTRA GÖTALANDS LÄN</t>
        </is>
      </c>
      <c r="E204" t="inlineStr">
        <is>
          <t>ALINGSÅS</t>
        </is>
      </c>
      <c r="F204" t="inlineStr">
        <is>
          <t>Kyrkan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30478-2023</t>
        </is>
      </c>
      <c r="B205" s="1" t="n">
        <v>45111</v>
      </c>
      <c r="C205" s="1" t="n">
        <v>46205</v>
      </c>
      <c r="D205" t="inlineStr">
        <is>
          <t>VÄSTRA GÖTALANDS LÄN</t>
        </is>
      </c>
      <c r="E205" t="inlineStr">
        <is>
          <t>ALINGSÅS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3495-2023</t>
        </is>
      </c>
      <c r="B206" s="1" t="n">
        <v>44949</v>
      </c>
      <c r="C206" s="1" t="n">
        <v>46205</v>
      </c>
      <c r="D206" t="inlineStr">
        <is>
          <t>VÄSTRA GÖTALANDS LÄN</t>
        </is>
      </c>
      <c r="E206" t="inlineStr">
        <is>
          <t>ALINGSÅS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3355-2023</t>
        </is>
      </c>
      <c r="B207" s="1" t="n">
        <v>44949</v>
      </c>
      <c r="C207" s="1" t="n">
        <v>46205</v>
      </c>
      <c r="D207" t="inlineStr">
        <is>
          <t>VÄSTRA GÖTALANDS LÄN</t>
        </is>
      </c>
      <c r="E207" t="inlineStr">
        <is>
          <t>ALINGSÅS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13470-2026</t>
        </is>
      </c>
      <c r="B208" s="1" t="n">
        <v>46094</v>
      </c>
      <c r="C208" s="1" t="n">
        <v>46205</v>
      </c>
      <c r="D208" t="inlineStr">
        <is>
          <t>VÄSTRA GÖTALANDS LÄN</t>
        </is>
      </c>
      <c r="E208" t="inlineStr">
        <is>
          <t>ALINGSÅS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59956-2023</t>
        </is>
      </c>
      <c r="B209" s="1" t="n">
        <v>45257</v>
      </c>
      <c r="C209" s="1" t="n">
        <v>46205</v>
      </c>
      <c r="D209" t="inlineStr">
        <is>
          <t>VÄSTRA GÖTALANDS LÄN</t>
        </is>
      </c>
      <c r="E209" t="inlineStr">
        <is>
          <t>ALINGSÅS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19739-2025</t>
        </is>
      </c>
      <c r="B210" s="1" t="n">
        <v>45771</v>
      </c>
      <c r="C210" s="1" t="n">
        <v>46205</v>
      </c>
      <c r="D210" t="inlineStr">
        <is>
          <t>VÄSTRA GÖTALANDS LÄN</t>
        </is>
      </c>
      <c r="E210" t="inlineStr">
        <is>
          <t>ALINGSÅS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15847-2026</t>
        </is>
      </c>
      <c r="B211" s="1" t="n">
        <v>46107</v>
      </c>
      <c r="C211" s="1" t="n">
        <v>46205</v>
      </c>
      <c r="D211" t="inlineStr">
        <is>
          <t>VÄSTRA GÖTALANDS LÄN</t>
        </is>
      </c>
      <c r="E211" t="inlineStr">
        <is>
          <t>ALINGSÅS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15663-2026</t>
        </is>
      </c>
      <c r="B212" s="1" t="n">
        <v>46106</v>
      </c>
      <c r="C212" s="1" t="n">
        <v>46205</v>
      </c>
      <c r="D212" t="inlineStr">
        <is>
          <t>VÄSTRA GÖTALANDS LÄN</t>
        </is>
      </c>
      <c r="E212" t="inlineStr">
        <is>
          <t>ALINGSÅS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5808-2024</t>
        </is>
      </c>
      <c r="B213" s="1" t="n">
        <v>45335</v>
      </c>
      <c r="C213" s="1" t="n">
        <v>46205</v>
      </c>
      <c r="D213" t="inlineStr">
        <is>
          <t>VÄSTRA GÖTALANDS LÄN</t>
        </is>
      </c>
      <c r="E213" t="inlineStr">
        <is>
          <t>ALINGSÅS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5810-2024</t>
        </is>
      </c>
      <c r="B214" s="1" t="n">
        <v>45335</v>
      </c>
      <c r="C214" s="1" t="n">
        <v>46205</v>
      </c>
      <c r="D214" t="inlineStr">
        <is>
          <t>VÄSTRA GÖTALANDS LÄN</t>
        </is>
      </c>
      <c r="E214" t="inlineStr">
        <is>
          <t>ALINGSÅS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15846-2026</t>
        </is>
      </c>
      <c r="B215" s="1" t="n">
        <v>46107</v>
      </c>
      <c r="C215" s="1" t="n">
        <v>46205</v>
      </c>
      <c r="D215" t="inlineStr">
        <is>
          <t>VÄSTRA GÖTALANDS LÄN</t>
        </is>
      </c>
      <c r="E215" t="inlineStr">
        <is>
          <t>ALINGSÅS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48082-2024</t>
        </is>
      </c>
      <c r="B216" s="1" t="n">
        <v>45589</v>
      </c>
      <c r="C216" s="1" t="n">
        <v>46205</v>
      </c>
      <c r="D216" t="inlineStr">
        <is>
          <t>VÄSTRA GÖTALANDS LÄN</t>
        </is>
      </c>
      <c r="E216" t="inlineStr">
        <is>
          <t>ALINGSÅS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33812-2023</t>
        </is>
      </c>
      <c r="B217" s="1" t="n">
        <v>45133</v>
      </c>
      <c r="C217" s="1" t="n">
        <v>46205</v>
      </c>
      <c r="D217" t="inlineStr">
        <is>
          <t>VÄSTRA GÖTALANDS LÄN</t>
        </is>
      </c>
      <c r="E217" t="inlineStr">
        <is>
          <t>ALINGSÅS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16077-2026</t>
        </is>
      </c>
      <c r="B218" s="1" t="n">
        <v>46108</v>
      </c>
      <c r="C218" s="1" t="n">
        <v>46205</v>
      </c>
      <c r="D218" t="inlineStr">
        <is>
          <t>VÄSTRA GÖTALANDS LÄN</t>
        </is>
      </c>
      <c r="E218" t="inlineStr">
        <is>
          <t>ALINGSÅS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16086-2026</t>
        </is>
      </c>
      <c r="B219" s="1" t="n">
        <v>46108</v>
      </c>
      <c r="C219" s="1" t="n">
        <v>46205</v>
      </c>
      <c r="D219" t="inlineStr">
        <is>
          <t>VÄSTRA GÖTALANDS LÄN</t>
        </is>
      </c>
      <c r="E219" t="inlineStr">
        <is>
          <t>ALINGSÅS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15988-2026</t>
        </is>
      </c>
      <c r="B220" s="1" t="n">
        <v>46108</v>
      </c>
      <c r="C220" s="1" t="n">
        <v>46205</v>
      </c>
      <c r="D220" t="inlineStr">
        <is>
          <t>VÄSTRA GÖTALANDS LÄN</t>
        </is>
      </c>
      <c r="E220" t="inlineStr">
        <is>
          <t>ALINGSÅS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58558-2021</t>
        </is>
      </c>
      <c r="B221" s="1" t="n">
        <v>44488</v>
      </c>
      <c r="C221" s="1" t="n">
        <v>46205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11539-2022</t>
        </is>
      </c>
      <c r="B222" s="1" t="n">
        <v>44631</v>
      </c>
      <c r="C222" s="1" t="n">
        <v>46205</v>
      </c>
      <c r="D222" t="inlineStr">
        <is>
          <t>VÄSTRA GÖTALANDS LÄN</t>
        </is>
      </c>
      <c r="E222" t="inlineStr">
        <is>
          <t>ALINGSÅS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17654-2026</t>
        </is>
      </c>
      <c r="B223" s="1" t="n">
        <v>46121</v>
      </c>
      <c r="C223" s="1" t="n">
        <v>46205</v>
      </c>
      <c r="D223" t="inlineStr">
        <is>
          <t>VÄSTRA GÖTALANDS LÄN</t>
        </is>
      </c>
      <c r="E223" t="inlineStr">
        <is>
          <t>ALINGSÅS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17680-2026</t>
        </is>
      </c>
      <c r="B224" s="1" t="n">
        <v>46121</v>
      </c>
      <c r="C224" s="1" t="n">
        <v>46205</v>
      </c>
      <c r="D224" t="inlineStr">
        <is>
          <t>VÄSTRA GÖTALANDS LÄN</t>
        </is>
      </c>
      <c r="E224" t="inlineStr">
        <is>
          <t>ALINGSÅS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51169-2021</t>
        </is>
      </c>
      <c r="B225" s="1" t="n">
        <v>44461</v>
      </c>
      <c r="C225" s="1" t="n">
        <v>46205</v>
      </c>
      <c r="D225" t="inlineStr">
        <is>
          <t>VÄSTRA GÖTALANDS LÄN</t>
        </is>
      </c>
      <c r="E225" t="inlineStr">
        <is>
          <t>ALINGSÅS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54615-2024</t>
        </is>
      </c>
      <c r="B226" s="1" t="n">
        <v>45617</v>
      </c>
      <c r="C226" s="1" t="n">
        <v>46205</v>
      </c>
      <c r="D226" t="inlineStr">
        <is>
          <t>VÄSTRA GÖTALANDS LÄN</t>
        </is>
      </c>
      <c r="E226" t="inlineStr">
        <is>
          <t>ALINGSÅS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17834-2026</t>
        </is>
      </c>
      <c r="B227" s="1" t="n">
        <v>46122</v>
      </c>
      <c r="C227" s="1" t="n">
        <v>46205</v>
      </c>
      <c r="D227" t="inlineStr">
        <is>
          <t>VÄSTRA GÖTALANDS LÄN</t>
        </is>
      </c>
      <c r="E227" t="inlineStr">
        <is>
          <t>ALINGSÅS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59303-2024</t>
        </is>
      </c>
      <c r="B228" s="1" t="n">
        <v>45637</v>
      </c>
      <c r="C228" s="1" t="n">
        <v>46205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18574-2026</t>
        </is>
      </c>
      <c r="B229" s="1" t="n">
        <v>46127</v>
      </c>
      <c r="C229" s="1" t="n">
        <v>46205</v>
      </c>
      <c r="D229" t="inlineStr">
        <is>
          <t>VÄSTRA GÖTALANDS LÄN</t>
        </is>
      </c>
      <c r="E229" t="inlineStr">
        <is>
          <t>ALINGSÅS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45323-2024</t>
        </is>
      </c>
      <c r="B230" s="1" t="n">
        <v>45576</v>
      </c>
      <c r="C230" s="1" t="n">
        <v>46205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18360-2026</t>
        </is>
      </c>
      <c r="B231" s="1" t="n">
        <v>46126</v>
      </c>
      <c r="C231" s="1" t="n">
        <v>46205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23181-2023</t>
        </is>
      </c>
      <c r="B232" s="1" t="n">
        <v>45075</v>
      </c>
      <c r="C232" s="1" t="n">
        <v>46205</v>
      </c>
      <c r="D232" t="inlineStr">
        <is>
          <t>VÄSTRA GÖTALANDS LÄN</t>
        </is>
      </c>
      <c r="E232" t="inlineStr">
        <is>
          <t>ALINGSÅS</t>
        </is>
      </c>
      <c r="G232" t="n">
        <v>13.1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5757-2022</t>
        </is>
      </c>
      <c r="B233" s="1" t="n">
        <v>44596</v>
      </c>
      <c r="C233" s="1" t="n">
        <v>46205</v>
      </c>
      <c r="D233" t="inlineStr">
        <is>
          <t>VÄSTRA GÖTALANDS LÄN</t>
        </is>
      </c>
      <c r="E233" t="inlineStr">
        <is>
          <t>ALINGSÅS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5023-2024</t>
        </is>
      </c>
      <c r="B234" s="1" t="n">
        <v>45329</v>
      </c>
      <c r="C234" s="1" t="n">
        <v>46205</v>
      </c>
      <c r="D234" t="inlineStr">
        <is>
          <t>VÄSTRA GÖTALANDS LÄN</t>
        </is>
      </c>
      <c r="E234" t="inlineStr">
        <is>
          <t>ALINGSÅS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3172-2022</t>
        </is>
      </c>
      <c r="B235" s="1" t="n">
        <v>44582</v>
      </c>
      <c r="C235" s="1" t="n">
        <v>46205</v>
      </c>
      <c r="D235" t="inlineStr">
        <is>
          <t>VÄSTRA GÖTALANDS LÄN</t>
        </is>
      </c>
      <c r="E235" t="inlineStr">
        <is>
          <t>ALINGSÅS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18889-2026</t>
        </is>
      </c>
      <c r="B236" s="1" t="n">
        <v>46129</v>
      </c>
      <c r="C236" s="1" t="n">
        <v>46205</v>
      </c>
      <c r="D236" t="inlineStr">
        <is>
          <t>VÄSTRA GÖTALANDS LÄN</t>
        </is>
      </c>
      <c r="E236" t="inlineStr">
        <is>
          <t>ALINGSÅS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24995-2026</t>
        </is>
      </c>
      <c r="B237" s="1" t="n">
        <v>46174</v>
      </c>
      <c r="C237" s="1" t="n">
        <v>46205</v>
      </c>
      <c r="D237" t="inlineStr">
        <is>
          <t>VÄSTRA GÖTALANDS LÄN</t>
        </is>
      </c>
      <c r="E237" t="inlineStr">
        <is>
          <t>ALINGSÅS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49164-2024</t>
        </is>
      </c>
      <c r="B238" s="1" t="n">
        <v>45594</v>
      </c>
      <c r="C238" s="1" t="n">
        <v>46205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40880-2023</t>
        </is>
      </c>
      <c r="B239" s="1" t="n">
        <v>45173</v>
      </c>
      <c r="C239" s="1" t="n">
        <v>46205</v>
      </c>
      <c r="D239" t="inlineStr">
        <is>
          <t>VÄSTRA GÖTALANDS LÄN</t>
        </is>
      </c>
      <c r="E239" t="inlineStr">
        <is>
          <t>ALINGSÅS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24845-2026</t>
        </is>
      </c>
      <c r="B240" s="1" t="n">
        <v>46174</v>
      </c>
      <c r="C240" s="1" t="n">
        <v>46205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24668-2026</t>
        </is>
      </c>
      <c r="B241" s="1" t="n">
        <v>46171</v>
      </c>
      <c r="C241" s="1" t="n">
        <v>46205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19025-2026</t>
        </is>
      </c>
      <c r="B242" s="1" t="n">
        <v>46131</v>
      </c>
      <c r="C242" s="1" t="n">
        <v>46205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25313-2026</t>
        </is>
      </c>
      <c r="B243" s="1" t="n">
        <v>46176</v>
      </c>
      <c r="C243" s="1" t="n">
        <v>46205</v>
      </c>
      <c r="D243" t="inlineStr">
        <is>
          <t>VÄSTRA GÖTALANDS LÄN</t>
        </is>
      </c>
      <c r="E243" t="inlineStr">
        <is>
          <t>ALINGSÅS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25302-2026</t>
        </is>
      </c>
      <c r="B244" s="1" t="n">
        <v>46176</v>
      </c>
      <c r="C244" s="1" t="n">
        <v>46205</v>
      </c>
      <c r="D244" t="inlineStr">
        <is>
          <t>VÄSTRA GÖTALANDS LÄN</t>
        </is>
      </c>
      <c r="E244" t="inlineStr">
        <is>
          <t>ALINGSÅS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25343-2026</t>
        </is>
      </c>
      <c r="B245" s="1" t="n">
        <v>46176</v>
      </c>
      <c r="C245" s="1" t="n">
        <v>46205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25468-2026</t>
        </is>
      </c>
      <c r="B246" s="1" t="n">
        <v>46177</v>
      </c>
      <c r="C246" s="1" t="n">
        <v>46205</v>
      </c>
      <c r="D246" t="inlineStr">
        <is>
          <t>VÄSTRA GÖTALANDS LÄN</t>
        </is>
      </c>
      <c r="E246" t="inlineStr">
        <is>
          <t>ALINGSÅS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25775-2026</t>
        </is>
      </c>
      <c r="B247" s="1" t="n">
        <v>46178</v>
      </c>
      <c r="C247" s="1" t="n">
        <v>46205</v>
      </c>
      <c r="D247" t="inlineStr">
        <is>
          <t>VÄSTRA GÖTALANDS LÄN</t>
        </is>
      </c>
      <c r="E247" t="inlineStr">
        <is>
          <t>ALINGSÅS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21143-2024</t>
        </is>
      </c>
      <c r="B248" s="1" t="n">
        <v>45440</v>
      </c>
      <c r="C248" s="1" t="n">
        <v>46205</v>
      </c>
      <c r="D248" t="inlineStr">
        <is>
          <t>VÄSTRA GÖTALANDS LÄN</t>
        </is>
      </c>
      <c r="E248" t="inlineStr">
        <is>
          <t>ALINGSÅS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24847-2026</t>
        </is>
      </c>
      <c r="B249" s="1" t="n">
        <v>46174</v>
      </c>
      <c r="C249" s="1" t="n">
        <v>46205</v>
      </c>
      <c r="D249" t="inlineStr">
        <is>
          <t>VÄSTRA GÖTALANDS LÄN</t>
        </is>
      </c>
      <c r="E249" t="inlineStr">
        <is>
          <t>ALINGSÅS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25457-2026</t>
        </is>
      </c>
      <c r="B250" s="1" t="n">
        <v>46177</v>
      </c>
      <c r="C250" s="1" t="n">
        <v>46205</v>
      </c>
      <c r="D250" t="inlineStr">
        <is>
          <t>VÄSTRA GÖTALANDS LÄN</t>
        </is>
      </c>
      <c r="E250" t="inlineStr">
        <is>
          <t>ALINGSÅS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25462-2026</t>
        </is>
      </c>
      <c r="B251" s="1" t="n">
        <v>46177</v>
      </c>
      <c r="C251" s="1" t="n">
        <v>46205</v>
      </c>
      <c r="D251" t="inlineStr">
        <is>
          <t>VÄSTRA GÖTALANDS LÄN</t>
        </is>
      </c>
      <c r="E251" t="inlineStr">
        <is>
          <t>ALINGSÅS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25469-2026</t>
        </is>
      </c>
      <c r="B252" s="1" t="n">
        <v>46177</v>
      </c>
      <c r="C252" s="1" t="n">
        <v>46205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33490-2025</t>
        </is>
      </c>
      <c r="B253" s="1" t="n">
        <v>45841</v>
      </c>
      <c r="C253" s="1" t="n">
        <v>46205</v>
      </c>
      <c r="D253" t="inlineStr">
        <is>
          <t>VÄSTRA GÖTALANDS LÄN</t>
        </is>
      </c>
      <c r="E253" t="inlineStr">
        <is>
          <t>ALINGSÅS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24000-2024</t>
        </is>
      </c>
      <c r="B254" s="1" t="n">
        <v>45456</v>
      </c>
      <c r="C254" s="1" t="n">
        <v>46205</v>
      </c>
      <c r="D254" t="inlineStr">
        <is>
          <t>VÄSTRA GÖTALANDS LÄN</t>
        </is>
      </c>
      <c r="E254" t="inlineStr">
        <is>
          <t>ALINGSÅS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3618-2025</t>
        </is>
      </c>
      <c r="B255" s="1" t="n">
        <v>45681</v>
      </c>
      <c r="C255" s="1" t="n">
        <v>46205</v>
      </c>
      <c r="D255" t="inlineStr">
        <is>
          <t>VÄSTRA GÖTALANDS LÄN</t>
        </is>
      </c>
      <c r="E255" t="inlineStr">
        <is>
          <t>ALINGSÅS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44103-2025</t>
        </is>
      </c>
      <c r="B256" s="1" t="n">
        <v>45915</v>
      </c>
      <c r="C256" s="1" t="n">
        <v>46205</v>
      </c>
      <c r="D256" t="inlineStr">
        <is>
          <t>VÄSTRA GÖTALANDS LÄN</t>
        </is>
      </c>
      <c r="E256" t="inlineStr">
        <is>
          <t>ALINGSÅS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59566-2023</t>
        </is>
      </c>
      <c r="B257" s="1" t="n">
        <v>45254</v>
      </c>
      <c r="C257" s="1" t="n">
        <v>46205</v>
      </c>
      <c r="D257" t="inlineStr">
        <is>
          <t>VÄSTRA GÖTALANDS LÄN</t>
        </is>
      </c>
      <c r="E257" t="inlineStr">
        <is>
          <t>ALINGSÅS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24579-2022</t>
        </is>
      </c>
      <c r="B258" s="1" t="n">
        <v>44727</v>
      </c>
      <c r="C258" s="1" t="n">
        <v>46205</v>
      </c>
      <c r="D258" t="inlineStr">
        <is>
          <t>VÄSTRA GÖTALANDS LÄN</t>
        </is>
      </c>
      <c r="E258" t="inlineStr">
        <is>
          <t>ALINGSÅS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20123-2025</t>
        </is>
      </c>
      <c r="B259" s="1" t="n">
        <v>45772</v>
      </c>
      <c r="C259" s="1" t="n">
        <v>46205</v>
      </c>
      <c r="D259" t="inlineStr">
        <is>
          <t>VÄSTRA GÖTALANDS LÄN</t>
        </is>
      </c>
      <c r="E259" t="inlineStr">
        <is>
          <t>ALINGSÅS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46205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18159-2024</t>
        </is>
      </c>
      <c r="B261" s="1" t="n">
        <v>45420</v>
      </c>
      <c r="C261" s="1" t="n">
        <v>46205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29837-2025</t>
        </is>
      </c>
      <c r="B262" s="1" t="n">
        <v>45826</v>
      </c>
      <c r="C262" s="1" t="n">
        <v>46205</v>
      </c>
      <c r="D262" t="inlineStr">
        <is>
          <t>VÄSTRA GÖTALANDS LÄN</t>
        </is>
      </c>
      <c r="E262" t="inlineStr">
        <is>
          <t>ALINGSÅS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39471-2023</t>
        </is>
      </c>
      <c r="B263" s="1" t="n">
        <v>45166</v>
      </c>
      <c r="C263" s="1" t="n">
        <v>46205</v>
      </c>
      <c r="D263" t="inlineStr">
        <is>
          <t>VÄSTRA GÖTALANDS LÄN</t>
        </is>
      </c>
      <c r="E263" t="inlineStr">
        <is>
          <t>ALINGSÅS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23617-2025</t>
        </is>
      </c>
      <c r="B264" s="1" t="n">
        <v>45792</v>
      </c>
      <c r="C264" s="1" t="n">
        <v>46205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25747-2024</t>
        </is>
      </c>
      <c r="B265" s="1" t="n">
        <v>45465</v>
      </c>
      <c r="C265" s="1" t="n">
        <v>46205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60904-2023</t>
        </is>
      </c>
      <c r="B266" s="1" t="n">
        <v>45261</v>
      </c>
      <c r="C266" s="1" t="n">
        <v>46205</v>
      </c>
      <c r="D266" t="inlineStr">
        <is>
          <t>VÄSTRA GÖTALANDS LÄN</t>
        </is>
      </c>
      <c r="E266" t="inlineStr">
        <is>
          <t>ALINGSÅS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60027-2023</t>
        </is>
      </c>
      <c r="B267" s="1" t="n">
        <v>45258</v>
      </c>
      <c r="C267" s="1" t="n">
        <v>46205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62671-2023</t>
        </is>
      </c>
      <c r="B268" s="1" t="n">
        <v>45271</v>
      </c>
      <c r="C268" s="1" t="n">
        <v>46205</v>
      </c>
      <c r="D268" t="inlineStr">
        <is>
          <t>VÄSTRA GÖTALANDS LÄN</t>
        </is>
      </c>
      <c r="E268" t="inlineStr">
        <is>
          <t>ALINGSÅS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2362-2024</t>
        </is>
      </c>
      <c r="B269" s="1" t="n">
        <v>45310</v>
      </c>
      <c r="C269" s="1" t="n">
        <v>46205</v>
      </c>
      <c r="D269" t="inlineStr">
        <is>
          <t>VÄSTRA GÖTALANDS LÄN</t>
        </is>
      </c>
      <c r="E269" t="inlineStr">
        <is>
          <t>ALINGSÅS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61734-2023</t>
        </is>
      </c>
      <c r="B270" s="1" t="n">
        <v>45265</v>
      </c>
      <c r="C270" s="1" t="n">
        <v>46205</v>
      </c>
      <c r="D270" t="inlineStr">
        <is>
          <t>VÄSTRA GÖTALANDS LÄN</t>
        </is>
      </c>
      <c r="E270" t="inlineStr">
        <is>
          <t>ALINGSÅS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8080-2023</t>
        </is>
      </c>
      <c r="B271" s="1" t="n">
        <v>44974</v>
      </c>
      <c r="C271" s="1" t="n">
        <v>46205</v>
      </c>
      <c r="D271" t="inlineStr">
        <is>
          <t>VÄSTRA GÖTALANDS LÄN</t>
        </is>
      </c>
      <c r="E271" t="inlineStr">
        <is>
          <t>ALINGSÅS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50039-2021</t>
        </is>
      </c>
      <c r="B272" s="1" t="n">
        <v>44456</v>
      </c>
      <c r="C272" s="1" t="n">
        <v>46205</v>
      </c>
      <c r="D272" t="inlineStr">
        <is>
          <t>VÄSTRA GÖTALANDS LÄN</t>
        </is>
      </c>
      <c r="E272" t="inlineStr">
        <is>
          <t>ALINGSÅS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50633-2023</t>
        </is>
      </c>
      <c r="B273" s="1" t="n">
        <v>45210</v>
      </c>
      <c r="C273" s="1" t="n">
        <v>46205</v>
      </c>
      <c r="D273" t="inlineStr">
        <is>
          <t>VÄSTRA GÖTALANDS LÄN</t>
        </is>
      </c>
      <c r="E273" t="inlineStr">
        <is>
          <t>ALINGSÅS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25141-2022</t>
        </is>
      </c>
      <c r="B274" s="1" t="n">
        <v>44729</v>
      </c>
      <c r="C274" s="1" t="n">
        <v>46205</v>
      </c>
      <c r="D274" t="inlineStr">
        <is>
          <t>VÄSTRA GÖTALANDS LÄN</t>
        </is>
      </c>
      <c r="E274" t="inlineStr">
        <is>
          <t>ALINGSÅS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42531-2022</t>
        </is>
      </c>
      <c r="B275" s="1" t="n">
        <v>44831</v>
      </c>
      <c r="C275" s="1" t="n">
        <v>46205</v>
      </c>
      <c r="D275" t="inlineStr">
        <is>
          <t>VÄSTRA GÖTALANDS LÄN</t>
        </is>
      </c>
      <c r="E275" t="inlineStr">
        <is>
          <t>ALINGSÅS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7713-2024</t>
        </is>
      </c>
      <c r="B276" s="1" t="n">
        <v>45349</v>
      </c>
      <c r="C276" s="1" t="n">
        <v>46205</v>
      </c>
      <c r="D276" t="inlineStr">
        <is>
          <t>VÄSTRA GÖTALANDS LÄN</t>
        </is>
      </c>
      <c r="E276" t="inlineStr">
        <is>
          <t>ALINGSÅS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40293-2022</t>
        </is>
      </c>
      <c r="B277" s="1" t="n">
        <v>44821</v>
      </c>
      <c r="C277" s="1" t="n">
        <v>46205</v>
      </c>
      <c r="D277" t="inlineStr">
        <is>
          <t>VÄSTRA GÖTALANDS LÄN</t>
        </is>
      </c>
      <c r="E277" t="inlineStr">
        <is>
          <t>ALINGSÅS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27431-2023</t>
        </is>
      </c>
      <c r="B278" s="1" t="n">
        <v>45097</v>
      </c>
      <c r="C278" s="1" t="n">
        <v>46205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27029-2026</t>
        </is>
      </c>
      <c r="B279" s="1" t="n">
        <v>46185</v>
      </c>
      <c r="C279" s="1" t="n">
        <v>46205</v>
      </c>
      <c r="D279" t="inlineStr">
        <is>
          <t>VÄSTRA GÖTALANDS LÄN</t>
        </is>
      </c>
      <c r="E279" t="inlineStr">
        <is>
          <t>ALINGSÅS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39963-2021</t>
        </is>
      </c>
      <c r="B280" s="1" t="n">
        <v>44418</v>
      </c>
      <c r="C280" s="1" t="n">
        <v>46205</v>
      </c>
      <c r="D280" t="inlineStr">
        <is>
          <t>VÄSTRA GÖTALANDS LÄN</t>
        </is>
      </c>
      <c r="E280" t="inlineStr">
        <is>
          <t>ALINGSÅS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27401-2026</t>
        </is>
      </c>
      <c r="B281" s="1" t="n">
        <v>46189</v>
      </c>
      <c r="C281" s="1" t="n">
        <v>46205</v>
      </c>
      <c r="D281" t="inlineStr">
        <is>
          <t>VÄSTRA GÖTALANDS LÄN</t>
        </is>
      </c>
      <c r="E281" t="inlineStr">
        <is>
          <t>ALINGSÅS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27404-2026</t>
        </is>
      </c>
      <c r="B282" s="1" t="n">
        <v>46189</v>
      </c>
      <c r="C282" s="1" t="n">
        <v>46205</v>
      </c>
      <c r="D282" t="inlineStr">
        <is>
          <t>VÄSTRA GÖTALANDS LÄN</t>
        </is>
      </c>
      <c r="E282" t="inlineStr">
        <is>
          <t>ALINGSÅS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21558-2026</t>
        </is>
      </c>
      <c r="B283" s="1" t="n">
        <v>46148</v>
      </c>
      <c r="C283" s="1" t="n">
        <v>46205</v>
      </c>
      <c r="D283" t="inlineStr">
        <is>
          <t>VÄSTRA GÖTALANDS LÄN</t>
        </is>
      </c>
      <c r="E283" t="inlineStr">
        <is>
          <t>ALINGSÅS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8981-2023</t>
        </is>
      </c>
      <c r="B284" s="1" t="n">
        <v>44979</v>
      </c>
      <c r="C284" s="1" t="n">
        <v>46205</v>
      </c>
      <c r="D284" t="inlineStr">
        <is>
          <t>VÄSTRA GÖTALANDS LÄN</t>
        </is>
      </c>
      <c r="E284" t="inlineStr">
        <is>
          <t>ALINGSÅS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57491-2022</t>
        </is>
      </c>
      <c r="B285" s="1" t="n">
        <v>44896</v>
      </c>
      <c r="C285" s="1" t="n">
        <v>46205</v>
      </c>
      <c r="D285" t="inlineStr">
        <is>
          <t>VÄSTRA GÖTALANDS LÄN</t>
        </is>
      </c>
      <c r="E285" t="inlineStr">
        <is>
          <t>ALINGSÅS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27877-2026</t>
        </is>
      </c>
      <c r="B286" s="1" t="n">
        <v>46191</v>
      </c>
      <c r="C286" s="1" t="n">
        <v>46205</v>
      </c>
      <c r="D286" t="inlineStr">
        <is>
          <t>VÄSTRA GÖTALANDS LÄN</t>
        </is>
      </c>
      <c r="E286" t="inlineStr">
        <is>
          <t>ALINGSÅS</t>
        </is>
      </c>
      <c r="G286" t="n">
        <v>21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27882-2026</t>
        </is>
      </c>
      <c r="B287" s="1" t="n">
        <v>46191</v>
      </c>
      <c r="C287" s="1" t="n">
        <v>46205</v>
      </c>
      <c r="D287" t="inlineStr">
        <is>
          <t>VÄSTRA GÖTALANDS LÄN</t>
        </is>
      </c>
      <c r="E287" t="inlineStr">
        <is>
          <t>ALINGSÅS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8828-2024</t>
        </is>
      </c>
      <c r="B288" s="1" t="n">
        <v>45356</v>
      </c>
      <c r="C288" s="1" t="n">
        <v>46205</v>
      </c>
      <c r="D288" t="inlineStr">
        <is>
          <t>VÄSTRA GÖTALANDS LÄN</t>
        </is>
      </c>
      <c r="E288" t="inlineStr">
        <is>
          <t>ALINGSÅS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52297-2024</t>
        </is>
      </c>
      <c r="B289" s="1" t="n">
        <v>45608</v>
      </c>
      <c r="C289" s="1" t="n">
        <v>46205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52302-2024</t>
        </is>
      </c>
      <c r="B290" s="1" t="n">
        <v>45608</v>
      </c>
      <c r="C290" s="1" t="n">
        <v>46205</v>
      </c>
      <c r="D290" t="inlineStr">
        <is>
          <t>VÄSTRA GÖTALANDS LÄN</t>
        </is>
      </c>
      <c r="E290" t="inlineStr">
        <is>
          <t>ALINGSÅS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46205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38508-2024</t>
        </is>
      </c>
      <c r="B292" s="1" t="n">
        <v>45546</v>
      </c>
      <c r="C292" s="1" t="n">
        <v>46205</v>
      </c>
      <c r="D292" t="inlineStr">
        <is>
          <t>VÄSTRA GÖTALANDS LÄN</t>
        </is>
      </c>
      <c r="E292" t="inlineStr">
        <is>
          <t>ALINGSÅS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46205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46240-2023</t>
        </is>
      </c>
      <c r="B294" s="1" t="n">
        <v>45196</v>
      </c>
      <c r="C294" s="1" t="n">
        <v>46205</v>
      </c>
      <c r="D294" t="inlineStr">
        <is>
          <t>VÄSTRA GÖTALANDS LÄN</t>
        </is>
      </c>
      <c r="E294" t="inlineStr">
        <is>
          <t>ALINGSÅS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31873-2023</t>
        </is>
      </c>
      <c r="B295" s="1" t="n">
        <v>45118</v>
      </c>
      <c r="C295" s="1" t="n">
        <v>46205</v>
      </c>
      <c r="D295" t="inlineStr">
        <is>
          <t>VÄSTRA GÖTALANDS LÄN</t>
        </is>
      </c>
      <c r="E295" t="inlineStr">
        <is>
          <t>ALINGSÅS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53887-2021</t>
        </is>
      </c>
      <c r="B296" s="1" t="n">
        <v>44469</v>
      </c>
      <c r="C296" s="1" t="n">
        <v>46205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49522-2024</t>
        </is>
      </c>
      <c r="B297" s="1" t="n">
        <v>45596</v>
      </c>
      <c r="C297" s="1" t="n">
        <v>46205</v>
      </c>
      <c r="D297" t="inlineStr">
        <is>
          <t>VÄSTRA GÖTALANDS LÄN</t>
        </is>
      </c>
      <c r="E297" t="inlineStr">
        <is>
          <t>ALINGSÅS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3352-2025</t>
        </is>
      </c>
      <c r="B298" s="1" t="n">
        <v>45679</v>
      </c>
      <c r="C298" s="1" t="n">
        <v>46205</v>
      </c>
      <c r="D298" t="inlineStr">
        <is>
          <t>VÄSTRA GÖTALANDS LÄN</t>
        </is>
      </c>
      <c r="E298" t="inlineStr">
        <is>
          <t>ALINGSÅS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17048-2024</t>
        </is>
      </c>
      <c r="B299" s="1" t="n">
        <v>45412</v>
      </c>
      <c r="C299" s="1" t="n">
        <v>46205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52299-2024</t>
        </is>
      </c>
      <c r="B300" s="1" t="n">
        <v>45608</v>
      </c>
      <c r="C300" s="1" t="n">
        <v>46205</v>
      </c>
      <c r="D300" t="inlineStr">
        <is>
          <t>VÄSTRA GÖTALANDS LÄN</t>
        </is>
      </c>
      <c r="E300" t="inlineStr">
        <is>
          <t>ALINGSÅS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4147-2023</t>
        </is>
      </c>
      <c r="B301" s="1" t="n">
        <v>44953</v>
      </c>
      <c r="C301" s="1" t="n">
        <v>46205</v>
      </c>
      <c r="D301" t="inlineStr">
        <is>
          <t>VÄSTRA GÖTALANDS LÄN</t>
        </is>
      </c>
      <c r="E301" t="inlineStr">
        <is>
          <t>ALINGSÅS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36332-2023</t>
        </is>
      </c>
      <c r="B302" s="1" t="n">
        <v>45152</v>
      </c>
      <c r="C302" s="1" t="n">
        <v>46205</v>
      </c>
      <c r="D302" t="inlineStr">
        <is>
          <t>VÄSTRA GÖTALANDS LÄN</t>
        </is>
      </c>
      <c r="E302" t="inlineStr">
        <is>
          <t>ALINGSÅS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38955-2022</t>
        </is>
      </c>
      <c r="B303" s="1" t="n">
        <v>44816</v>
      </c>
      <c r="C303" s="1" t="n">
        <v>46205</v>
      </c>
      <c r="D303" t="inlineStr">
        <is>
          <t>VÄSTRA GÖTALANDS LÄN</t>
        </is>
      </c>
      <c r="E303" t="inlineStr">
        <is>
          <t>ALINGSÅS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39472-2023</t>
        </is>
      </c>
      <c r="B304" s="1" t="n">
        <v>45166</v>
      </c>
      <c r="C304" s="1" t="n">
        <v>46205</v>
      </c>
      <c r="D304" t="inlineStr">
        <is>
          <t>VÄSTRA GÖTALANDS LÄN</t>
        </is>
      </c>
      <c r="E304" t="inlineStr">
        <is>
          <t>ALINGSÅS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57450-2024</t>
        </is>
      </c>
      <c r="B305" s="1" t="n">
        <v>45630</v>
      </c>
      <c r="C305" s="1" t="n">
        <v>46205</v>
      </c>
      <c r="D305" t="inlineStr">
        <is>
          <t>VÄSTRA GÖTALANDS LÄN</t>
        </is>
      </c>
      <c r="E305" t="inlineStr">
        <is>
          <t>ALINGSÅS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9711-2023</t>
        </is>
      </c>
      <c r="B306" s="1" t="n">
        <v>44984</v>
      </c>
      <c r="C306" s="1" t="n">
        <v>46205</v>
      </c>
      <c r="D306" t="inlineStr">
        <is>
          <t>VÄSTRA GÖTALANDS LÄN</t>
        </is>
      </c>
      <c r="E306" t="inlineStr">
        <is>
          <t>ALINGSÅS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52298-2024</t>
        </is>
      </c>
      <c r="B307" s="1" t="n">
        <v>45608</v>
      </c>
      <c r="C307" s="1" t="n">
        <v>46205</v>
      </c>
      <c r="D307" t="inlineStr">
        <is>
          <t>VÄSTRA GÖTALANDS LÄN</t>
        </is>
      </c>
      <c r="E307" t="inlineStr">
        <is>
          <t>ALINGSÅS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11023-2023</t>
        </is>
      </c>
      <c r="B308" s="1" t="n">
        <v>44991</v>
      </c>
      <c r="C308" s="1" t="n">
        <v>46205</v>
      </c>
      <c r="D308" t="inlineStr">
        <is>
          <t>VÄSTRA GÖTALANDS LÄN</t>
        </is>
      </c>
      <c r="E308" t="inlineStr">
        <is>
          <t>ALINGSÅS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50312-2024</t>
        </is>
      </c>
      <c r="B309" s="1" t="n">
        <v>45600</v>
      </c>
      <c r="C309" s="1" t="n">
        <v>46205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11119-2024</t>
        </is>
      </c>
      <c r="B310" s="1" t="n">
        <v>45371</v>
      </c>
      <c r="C310" s="1" t="n">
        <v>46205</v>
      </c>
      <c r="D310" t="inlineStr">
        <is>
          <t>VÄSTRA GÖTALANDS LÄN</t>
        </is>
      </c>
      <c r="E310" t="inlineStr">
        <is>
          <t>ALINGSÅS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19562-2024</t>
        </is>
      </c>
      <c r="B311" s="1" t="n">
        <v>45429</v>
      </c>
      <c r="C311" s="1" t="n">
        <v>46205</v>
      </c>
      <c r="D311" t="inlineStr">
        <is>
          <t>VÄSTRA GÖTALANDS LÄN</t>
        </is>
      </c>
      <c r="E311" t="inlineStr">
        <is>
          <t>ALINGSÅS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18940-2024</t>
        </is>
      </c>
      <c r="B312" s="1" t="n">
        <v>45427</v>
      </c>
      <c r="C312" s="1" t="n">
        <v>46205</v>
      </c>
      <c r="D312" t="inlineStr">
        <is>
          <t>VÄSTRA GÖTALANDS LÄN</t>
        </is>
      </c>
      <c r="E312" t="inlineStr">
        <is>
          <t>ALINGSÅS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33491-2024</t>
        </is>
      </c>
      <c r="B313" s="1" t="n">
        <v>45519</v>
      </c>
      <c r="C313" s="1" t="n">
        <v>46205</v>
      </c>
      <c r="D313" t="inlineStr">
        <is>
          <t>VÄSTRA GÖTALANDS LÄN</t>
        </is>
      </c>
      <c r="E313" t="inlineStr">
        <is>
          <t>ALINGSÅS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23533-2025</t>
        </is>
      </c>
      <c r="B314" s="1" t="n">
        <v>45792</v>
      </c>
      <c r="C314" s="1" t="n">
        <v>46205</v>
      </c>
      <c r="D314" t="inlineStr">
        <is>
          <t>VÄSTRA GÖTALANDS LÄN</t>
        </is>
      </c>
      <c r="E314" t="inlineStr">
        <is>
          <t>ALINGSÅS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3748-2025</t>
        </is>
      </c>
      <c r="B315" s="1" t="n">
        <v>45681</v>
      </c>
      <c r="C315" s="1" t="n">
        <v>46205</v>
      </c>
      <c r="D315" t="inlineStr">
        <is>
          <t>VÄSTRA GÖTALANDS LÄN</t>
        </is>
      </c>
      <c r="E315" t="inlineStr">
        <is>
          <t>ALINGSÅS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60026-2023</t>
        </is>
      </c>
      <c r="B316" s="1" t="n">
        <v>45258</v>
      </c>
      <c r="C316" s="1" t="n">
        <v>46205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2026-07-02T00:58:18Z</dcterms:created>
  <dcterms:modified xmlns:dcterms="http://purl.org/dc/terms/" xmlns:xsi="http://www.w3.org/2001/XMLSchema-instance" xsi:type="dcterms:W3CDTF">2026-07-02T00:58:19Z</dcterms:modified>
</cp:coreProperties>
</file>